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Batch ETL-Glue" sheetId="2" state="visible" r:id="rId4"/>
    <sheet name="Data Modeling" sheetId="3" state="visible" r:id="rId5"/>
    <sheet name="Orchestration" sheetId="4" state="visible" r:id="rId6"/>
    <sheet name="Streaming" sheetId="5" state="visible" r:id="rId7"/>
    <sheet name="Data Quality" sheetId="6" state="visible" r:id="rId8"/>
    <sheet name="Perf Tuning" sheetId="7" state="visible" r:id="rId9"/>
    <sheet name="Modern ELT-dbt" sheetId="8" state="visible" r:id="rId10"/>
    <sheet name="Governance-Security" sheetId="9" state="visible" r:id="rId11"/>
    <sheet name="Cost Optimization" sheetId="10" state="visible" r:id="rId12"/>
    <sheet name="CI-CD" sheetId="11" state="visible" r:id="rId13"/>
    <sheet name="Observability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<sst xmlns="http://schemas.openxmlformats.org/spreadsheetml/2006/main" count="567" uniqueCount="311">
  <si>
    <t xml:space="preserve">Data Engineering Learning Tracker</t>
  </si>
  <si>
    <t xml:space="preserve">Use this to track what's covered in AWS labs vs. what's still open across the full DE skill set.</t>
  </si>
  <si>
    <t xml:space="preserve">Track</t>
  </si>
  <si>
    <t xml:space="preserve">Total Topics</t>
  </si>
  <si>
    <t xml:space="preserve">Done</t>
  </si>
  <si>
    <t xml:space="preserve">In Progress</t>
  </si>
  <si>
    <t xml:space="preserve">Not Started</t>
  </si>
  <si>
    <t xml:space="preserve">% Complete</t>
  </si>
  <si>
    <t xml:space="preserve">Batch ETL-Glue</t>
  </si>
  <si>
    <t xml:space="preserve">Data Modeling</t>
  </si>
  <si>
    <t xml:space="preserve">Orchestration</t>
  </si>
  <si>
    <t xml:space="preserve">Streaming</t>
  </si>
  <si>
    <t xml:space="preserve">Data Quality</t>
  </si>
  <si>
    <t xml:space="preserve">Perf Tuning</t>
  </si>
  <si>
    <t xml:space="preserve">Modern ELT-dbt</t>
  </si>
  <si>
    <t xml:space="preserve">Governance-Security</t>
  </si>
  <si>
    <t xml:space="preserve">Cost Optimization</t>
  </si>
  <si>
    <t xml:space="preserve">CI-CD</t>
  </si>
  <si>
    <t xml:space="preserve">Observability</t>
  </si>
  <si>
    <t xml:space="preserve">TOTAL</t>
  </si>
  <si>
    <t xml:space="preserve">Legend: set Status per row in each tab (dropdown) — green = Done, yellow = In Progress, red = Not Started.</t>
  </si>
  <si>
    <t xml:space="preserve">#</t>
  </si>
  <si>
    <t xml:space="preserve">Topic</t>
  </si>
  <si>
    <t xml:space="preserve">Skill / Subtopic</t>
  </si>
  <si>
    <t xml:space="preserve">Description</t>
  </si>
  <si>
    <t xml:space="preserve">Priority</t>
  </si>
  <si>
    <t xml:space="preserve">Status</t>
  </si>
  <si>
    <t xml:space="preserve">AWS Service(s)</t>
  </si>
  <si>
    <t xml:space="preserve">Suggested Resource</t>
  </si>
  <si>
    <t xml:space="preserve">Notes</t>
  </si>
  <si>
    <t xml:space="preserve">S3 data lake structure</t>
  </si>
  <si>
    <t xml:space="preserve">Raw / curated / consumption zones</t>
  </si>
  <si>
    <t xml:space="preserve">Landing, raw, curated, consumption zone separation patterns</t>
  </si>
  <si>
    <t xml:space="preserve">High</t>
  </si>
  <si>
    <t xml:space="preserve">S3, Lake Formation</t>
  </si>
  <si>
    <t xml:space="preserve">AWS Well-Architected Analytics Lens</t>
  </si>
  <si>
    <t xml:space="preserve">Glue Data Catalog</t>
  </si>
  <si>
    <t xml:space="preserve">Catalog as metadata pointer</t>
  </si>
  <si>
    <t xml:space="preserve">Tables = schema + location pointer, never a data copy</t>
  </si>
  <si>
    <t xml:space="preserve">Glue, Lake Formation</t>
  </si>
  <si>
    <t xml:space="preserve">This lab session</t>
  </si>
  <si>
    <t xml:space="preserve">Confirmed hands-on with _lab_cloudtrail vs lab_cloudtrail</t>
  </si>
  <si>
    <t xml:space="preserve">Crawlers</t>
  </si>
  <si>
    <t xml:space="preserve">Schema inference</t>
  </si>
  <si>
    <t xml:space="preserve">How crawlers sample files and infer schema/partitions</t>
  </si>
  <si>
    <t xml:space="preserve">Glue Crawler</t>
  </si>
  <si>
    <t xml:space="preserve">'discoverer' crawler</t>
  </si>
  <si>
    <t xml:space="preserve">Glue ETL Jobs (Spark)</t>
  </si>
  <si>
    <t xml:space="preserve">DynamicFrame, ApplyMapping, DropNullFields</t>
  </si>
  <si>
    <t xml:space="preserve">Core Glue transform primitives</t>
  </si>
  <si>
    <t xml:space="preserve">Glue Studio</t>
  </si>
  <si>
    <t xml:space="preserve">cloudtrail_incremental.py</t>
  </si>
  <si>
    <t xml:space="preserve">Read the real AWS script</t>
  </si>
  <si>
    <t xml:space="preserve">Hive-style partitioning</t>
  </si>
  <si>
    <t xml:space="preserve">Partition pruning &amp; hidden partitioning</t>
  </si>
  <si>
    <t xml:space="preserve">Physical folder layout vs logical table schema</t>
  </si>
  <si>
    <t xml:space="preserve">S3, Athena, Glue</t>
  </si>
  <si>
    <t xml:space="preserve">8-vs-20 column investigation</t>
  </si>
  <si>
    <t xml:space="preserve">Job Bookmarks &amp; incremental loads</t>
  </si>
  <si>
    <t xml:space="preserve">push_down_predicate, job.commit()</t>
  </si>
  <si>
    <t xml:space="preserve">Avoiding reprocessing data on reruns</t>
  </si>
  <si>
    <t xml:space="preserve">Glue Job Bookmark</t>
  </si>
  <si>
    <t xml:space="preserve">Lake Formation permissions model</t>
  </si>
  <si>
    <t xml:space="preserve">Fine-grained grants vs plain IAM</t>
  </si>
  <si>
    <t xml:space="preserve">GetDataAccess / GrantPermissions mechanics</t>
  </si>
  <si>
    <t xml:space="preserve">Medium</t>
  </si>
  <si>
    <t xml:space="preserve">Lake Formation</t>
  </si>
  <si>
    <t xml:space="preserve">ServiceRole vs WorkflowRole</t>
  </si>
  <si>
    <t xml:space="preserve">Workflow orchestration (Glue Workflows)</t>
  </si>
  <si>
    <t xml:space="preserve">Triggers / crawlers / jobs DAG</t>
  </si>
  <si>
    <t xml:space="preserve">AWS-native but narrow orchestration tool</t>
  </si>
  <si>
    <t xml:space="preserve">Glue Workflows</t>
  </si>
  <si>
    <t xml:space="preserve">Trigger predicate + crawler config detail still open</t>
  </si>
  <si>
    <t xml:space="preserve">Athena query engine</t>
  </si>
  <si>
    <t xml:space="preserve">Serverless SQL over S3</t>
  </si>
  <si>
    <t xml:space="preserve">Partition pruning, cost = bytes scanned</t>
  </si>
  <si>
    <t xml:space="preserve">Athena</t>
  </si>
  <si>
    <t xml:space="preserve">CloudTrail as a data source</t>
  </si>
  <si>
    <t xml:space="preserve">Management vs data events</t>
  </si>
  <si>
    <t xml:space="preserve">Understanding audit log structure &amp; scope</t>
  </si>
  <si>
    <t xml:space="preserve">Low</t>
  </si>
  <si>
    <t xml:space="preserve">CloudTrail</t>
  </si>
  <si>
    <t xml:space="preserve">Dimensional modeling basics</t>
  </si>
  <si>
    <t xml:space="preserve">Facts vs dimensions</t>
  </si>
  <si>
    <t xml:space="preserve">Core star-schema vocabulary</t>
  </si>
  <si>
    <t xml:space="preserve">Redshift / Snowflake</t>
  </si>
  <si>
    <t xml:space="preserve">Kimball, 'The Data Warehouse Toolkit'</t>
  </si>
  <si>
    <t xml:space="preserve">Star vs snowflake schema</t>
  </si>
  <si>
    <t xml:space="preserve">Denormalization tradeoffs</t>
  </si>
  <si>
    <t xml:space="preserve">When to normalize dimension tables</t>
  </si>
  <si>
    <t xml:space="preserve">Slowly Changing Dimensions</t>
  </si>
  <si>
    <t xml:space="preserve">SCD Type 0/1/2/3</t>
  </si>
  <si>
    <t xml:space="preserve">Handling dimension attribute changes over time</t>
  </si>
  <si>
    <t xml:space="preserve">Surrogate keys</t>
  </si>
  <si>
    <t xml:space="preserve">Why not natural/business keys</t>
  </si>
  <si>
    <t xml:space="preserve">Key design for dimension tables</t>
  </si>
  <si>
    <t xml:space="preserve">Fact table grain</t>
  </si>
  <si>
    <t xml:space="preserve">Choosing the correct grain</t>
  </si>
  <si>
    <t xml:space="preserve">Avoiding fan-out / double counting in joins</t>
  </si>
  <si>
    <t xml:space="preserve">Bridge / junk dimensions</t>
  </si>
  <si>
    <t xml:space="preserve">Many-to-many relationships</t>
  </si>
  <si>
    <t xml:space="preserve">Handling multi-valued dimension attributes</t>
  </si>
  <si>
    <t xml:space="preserve">Data vault modeling</t>
  </si>
  <si>
    <t xml:space="preserve">Hub / link / satellite pattern</t>
  </si>
  <si>
    <t xml:space="preserve">Alternative to Kimball for the raw layer</t>
  </si>
  <si>
    <t xml:space="preserve">OLTP vs OLAP schema design</t>
  </si>
  <si>
    <t xml:space="preserve">Normalization vs query performance</t>
  </si>
  <si>
    <t xml:space="preserve">Transactional vs analytical design goals</t>
  </si>
  <si>
    <t xml:space="preserve">Airflow core concepts</t>
  </si>
  <si>
    <t xml:space="preserve">DAGs, Operators, Tasks</t>
  </si>
  <si>
    <t xml:space="preserve">Basic building blocks of a DAG</t>
  </si>
  <si>
    <t xml:space="preserve">MWAA</t>
  </si>
  <si>
    <t xml:space="preserve">Airflow docs</t>
  </si>
  <si>
    <t xml:space="preserve">Airflow scheduling &amp; backfills</t>
  </si>
  <si>
    <t xml:space="preserve">Cron vs data intervals, catchup</t>
  </si>
  <si>
    <t xml:space="preserve">Handling historical reprocessing correctly</t>
  </si>
  <si>
    <t xml:space="preserve">Airflow sensors &amp; dependencies</t>
  </si>
  <si>
    <t xml:space="preserve">Waiting on external events/files</t>
  </si>
  <si>
    <t xml:space="preserve">Cross-DAG and external dependency handling</t>
  </si>
  <si>
    <t xml:space="preserve">XCom &amp; task communication</t>
  </si>
  <si>
    <t xml:space="preserve">Passing small data between tasks</t>
  </si>
  <si>
    <t xml:space="preserve">Task-to-task state passing</t>
  </si>
  <si>
    <t xml:space="preserve">Retry policies &amp; SLAs</t>
  </si>
  <si>
    <t xml:space="preserve">Failure handling at orchestration layer</t>
  </si>
  <si>
    <t xml:space="preserve">Alerting on missed SLAs</t>
  </si>
  <si>
    <t xml:space="preserve">AWS Step Functions</t>
  </si>
  <si>
    <t xml:space="preserve">State machines as alternative orchestrator</t>
  </si>
  <si>
    <t xml:space="preserve">Compare to Airflow's DAG model</t>
  </si>
  <si>
    <t xml:space="preserve">Step Functions</t>
  </si>
  <si>
    <t xml:space="preserve">Glue Workflows vs Airflow vs Step Functions</t>
  </si>
  <si>
    <t xml:space="preserve">Tool tradeoffs</t>
  </si>
  <si>
    <t xml:space="preserve">When to use which orchestrator</t>
  </si>
  <si>
    <t xml:space="preserve">This lab gives the Glue Workflows baseline</t>
  </si>
  <si>
    <t xml:space="preserve">Idempotent DAG design</t>
  </si>
  <si>
    <t xml:space="preserve">Safe re-runs and backfills</t>
  </si>
  <si>
    <t xml:space="preserve">Designing tasks that tolerate re-execution</t>
  </si>
  <si>
    <t xml:space="preserve">Kafka fundamentals</t>
  </si>
  <si>
    <t xml:space="preserve">Topics, partitions, consumer groups</t>
  </si>
  <si>
    <t xml:space="preserve">Core pub/sub messaging model</t>
  </si>
  <si>
    <t xml:space="preserve">MSK</t>
  </si>
  <si>
    <t xml:space="preserve">Kafka: The Definitive Guide</t>
  </si>
  <si>
    <t xml:space="preserve">Kinesis Streams &amp; Firehose</t>
  </si>
  <si>
    <t xml:space="preserve">AWS-native streaming ingestion</t>
  </si>
  <si>
    <t xml:space="preserve">Compare to Kafka's model</t>
  </si>
  <si>
    <t xml:space="preserve">Kinesis</t>
  </si>
  <si>
    <t xml:space="preserve">Spark Structured Streaming</t>
  </si>
  <si>
    <t xml:space="preserve">Micro-batch vs continuous processing</t>
  </si>
  <si>
    <t xml:space="preserve">Streaming DataFrame API</t>
  </si>
  <si>
    <t xml:space="preserve">EMR / Glue Streaming</t>
  </si>
  <si>
    <t xml:space="preserve">Windowing &amp; watermarking</t>
  </si>
  <si>
    <t xml:space="preserve">Handling late/out-of-order data</t>
  </si>
  <si>
    <t xml:space="preserve">Event-time vs processing-time</t>
  </si>
  <si>
    <t xml:space="preserve">Exactly-once vs at-least-once</t>
  </si>
  <si>
    <t xml:space="preserve">Delivery guarantee tradeoffs</t>
  </si>
  <si>
    <t xml:space="preserve">Idempotency at the streaming layer</t>
  </si>
  <si>
    <t xml:space="preserve">Streaming vs micro-batch vs batch</t>
  </si>
  <si>
    <t xml:space="preserve">Choosing the right paradigm</t>
  </si>
  <si>
    <t xml:space="preserve">Latency vs complexity tradeoffs</t>
  </si>
  <si>
    <t xml:space="preserve">Schema registry</t>
  </si>
  <si>
    <t xml:space="preserve">Managing evolving streaming schemas</t>
  </si>
  <si>
    <t xml:space="preserve">Producer/consumer schema compatibility</t>
  </si>
  <si>
    <t xml:space="preserve">Glue Schema Registry</t>
  </si>
  <si>
    <t xml:space="preserve">Data validation frameworks</t>
  </si>
  <si>
    <t xml:space="preserve">Great Expectations basics</t>
  </si>
  <si>
    <t xml:space="preserve">Define and run expectation suites</t>
  </si>
  <si>
    <t xml:space="preserve">greatexpectations.io</t>
  </si>
  <si>
    <t xml:space="preserve">dbt tests</t>
  </si>
  <si>
    <t xml:space="preserve">not_null, unique, relationships</t>
  </si>
  <si>
    <t xml:space="preserve">Built-in and custom dbt test types</t>
  </si>
  <si>
    <t xml:space="preserve">dbt</t>
  </si>
  <si>
    <t xml:space="preserve">Schema contracts</t>
  </si>
  <si>
    <t xml:space="preserve">Producer/consumer schema agreements</t>
  </si>
  <si>
    <t xml:space="preserve">Preventing breaking upstream changes</t>
  </si>
  <si>
    <t xml:space="preserve">Unit testing pipelines</t>
  </si>
  <si>
    <t xml:space="preserve">Testing transform logic in isolation</t>
  </si>
  <si>
    <t xml:space="preserve">pytest for PySpark/pandas functions</t>
  </si>
  <si>
    <t xml:space="preserve">pytest, chispa</t>
  </si>
  <si>
    <t xml:space="preserve">Anomaly / drift detection</t>
  </si>
  <si>
    <t xml:space="preserve">Detecting unexpected data changes</t>
  </si>
  <si>
    <t xml:space="preserve">Row count, null rate, distribution checks</t>
  </si>
  <si>
    <t xml:space="preserve">Data reconciliation</t>
  </si>
  <si>
    <t xml:space="preserve">Source vs target row/sum checks</t>
  </si>
  <si>
    <t xml:space="preserve">End-to-end pipeline correctness checks</t>
  </si>
  <si>
    <t xml:space="preserve">Spark partitioning strategy</t>
  </si>
  <si>
    <t xml:space="preserve">Avoiding data skew</t>
  </si>
  <si>
    <t xml:space="preserve">repartition vs coalesce</t>
  </si>
  <si>
    <t xml:space="preserve">EMR / Glue</t>
  </si>
  <si>
    <t xml:space="preserve">Shuffle optimization</t>
  </si>
  <si>
    <t xml:space="preserve">Minimizing wide transformations</t>
  </si>
  <si>
    <t xml:space="preserve">groupBy/join cost awareness</t>
  </si>
  <si>
    <t xml:space="preserve">Broadcast joins</t>
  </si>
  <si>
    <t xml:space="preserve">Small-table join optimization</t>
  </si>
  <si>
    <t xml:space="preserve">Avoiding unnecessary shuffles</t>
  </si>
  <si>
    <t xml:space="preserve">Caching / persistence</t>
  </si>
  <si>
    <t xml:space="preserve">When to cache intermediate DataFrames</t>
  </si>
  <si>
    <t xml:space="preserve">Reuse vs recompute tradeoffs</t>
  </si>
  <si>
    <t xml:space="preserve">File size optimization</t>
  </si>
  <si>
    <t xml:space="preserve">Avoiding the small-file problem at scale</t>
  </si>
  <si>
    <t xml:space="preserve">Compaction strategies</t>
  </si>
  <si>
    <t xml:space="preserve">Saw groupFiles/groupSize option in this lab</t>
  </si>
  <si>
    <t xml:space="preserve">Predicate / partition pushdown</t>
  </si>
  <si>
    <t xml:space="preserve">Reading less data at the source</t>
  </si>
  <si>
    <t xml:space="preserve">Filter-before-read patterns</t>
  </si>
  <si>
    <t xml:space="preserve">Saw push_down_predicate in this lab</t>
  </si>
  <si>
    <t xml:space="preserve">Z-ordering / compaction (Iceberg/Delta)</t>
  </si>
  <si>
    <t xml:space="preserve">OTF-specific optimization</t>
  </si>
  <si>
    <t xml:space="preserve">Ties back to the Parquet vs OTF discussion</t>
  </si>
  <si>
    <t xml:space="preserve">Iceberg</t>
  </si>
  <si>
    <t xml:space="preserve">Executor / memory tuning</t>
  </si>
  <si>
    <t xml:space="preserve">Cluster sizing decisions</t>
  </si>
  <si>
    <t xml:space="preserve">Worker type/count tradeoffs</t>
  </si>
  <si>
    <t xml:space="preserve">Saw G.1X x5 workers in this lab</t>
  </si>
  <si>
    <t xml:space="preserve">ELT vs ETL paradigm shift</t>
  </si>
  <si>
    <t xml:space="preserve">Transform-in-warehouse vs transform-in-flight</t>
  </si>
  <si>
    <t xml:space="preserve">Modern data stack philosophy</t>
  </si>
  <si>
    <t xml:space="preserve">dbt models &amp; materializations</t>
  </si>
  <si>
    <t xml:space="preserve">table/view/incremental/ephemeral</t>
  </si>
  <si>
    <t xml:space="preserve">Choosing the right materialization</t>
  </si>
  <si>
    <t xml:space="preserve">dbt DAG: ref() &amp; source()</t>
  </si>
  <si>
    <t xml:space="preserve">Dependency graph expressed in SQL</t>
  </si>
  <si>
    <t xml:space="preserve">How dbt builds its execution order</t>
  </si>
  <si>
    <t xml:space="preserve">Warehouse-native SQL transforms</t>
  </si>
  <si>
    <t xml:space="preserve">Snowflake / BigQuery / Redshift SQL patterns</t>
  </si>
  <si>
    <t xml:space="preserve">SQL-first transformation style</t>
  </si>
  <si>
    <t xml:space="preserve">Redshift</t>
  </si>
  <si>
    <t xml:space="preserve">dbt docs &amp; lineage</t>
  </si>
  <si>
    <t xml:space="preserve">Auto-generated documentation</t>
  </si>
  <si>
    <t xml:space="preserve">Built-in lineage graph</t>
  </si>
  <si>
    <t xml:space="preserve">CTEs &amp; window functions</t>
  </si>
  <si>
    <t xml:space="preserve">Advanced SQL for transforms</t>
  </si>
  <si>
    <t xml:space="preserve">Core SQL skills for ELT work</t>
  </si>
  <si>
    <t xml:space="preserve">Column / row-level security</t>
  </si>
  <si>
    <t xml:space="preserve">Fine-grained access beyond table level</t>
  </si>
  <si>
    <t xml:space="preserve">Restricting sensitive columns/rows</t>
  </si>
  <si>
    <t xml:space="preserve">PII masking &amp; tokenization</t>
  </si>
  <si>
    <t xml:space="preserve">Protecting sensitive fields</t>
  </si>
  <si>
    <t xml:space="preserve">Data protection techniques</t>
  </si>
  <si>
    <t xml:space="preserve">Encryption at rest / in transit</t>
  </si>
  <si>
    <t xml:space="preserve">KMS, SSE-S3, TLS</t>
  </si>
  <si>
    <t xml:space="preserve">Baseline encryption practices</t>
  </si>
  <si>
    <t xml:space="preserve">KMS</t>
  </si>
  <si>
    <t xml:space="preserve">Data classification &amp; tagging</t>
  </si>
  <si>
    <t xml:space="preserve">LF-Tags based access control</t>
  </si>
  <si>
    <t xml:space="preserve">Tag-based permission management</t>
  </si>
  <si>
    <t xml:space="preserve">Compliance basics</t>
  </si>
  <si>
    <t xml:space="preserve">GDPR / HIPAA / CCPA awareness</t>
  </si>
  <si>
    <t xml:space="preserve">High-level regulatory literacy</t>
  </si>
  <si>
    <t xml:space="preserve">Audit logging</t>
  </si>
  <si>
    <t xml:space="preserve">Trail of who-did-what</t>
  </si>
  <si>
    <t xml:space="preserve">This lab's whole CloudTrail exercise</t>
  </si>
  <si>
    <t xml:space="preserve">S3 storage tiering</t>
  </si>
  <si>
    <t xml:space="preserve">Standard / IA / Glacier lifecycle rules</t>
  </si>
  <si>
    <t xml:space="preserve">Matching storage class to access pattern</t>
  </si>
  <si>
    <t xml:space="preserve">S3</t>
  </si>
  <si>
    <t xml:space="preserve">Athena cost control</t>
  </si>
  <si>
    <t xml:space="preserve">Bytes-scanned optimization</t>
  </si>
  <si>
    <t xml:space="preserve">Partitioning + columnar format to cut cost</t>
  </si>
  <si>
    <t xml:space="preserve">Practiced partition pruning concept</t>
  </si>
  <si>
    <t xml:space="preserve">Glue job sizing</t>
  </si>
  <si>
    <t xml:space="preserve">Worker type/count/autoscaling tradeoffs</t>
  </si>
  <si>
    <t xml:space="preserve">Right-sizing compute for the workload</t>
  </si>
  <si>
    <t xml:space="preserve">Glue</t>
  </si>
  <si>
    <t xml:space="preserve">Saw autoscaling checkbox unchecked in this lab</t>
  </si>
  <si>
    <t xml:space="preserve">Spot / Flex execution</t>
  </si>
  <si>
    <t xml:space="preserve">Reduced-cost compute for non-urgent jobs</t>
  </si>
  <si>
    <t xml:space="preserve">Trading latency for savings</t>
  </si>
  <si>
    <t xml:space="preserve">Glue Flex</t>
  </si>
  <si>
    <t xml:space="preserve">Saw this checkbox in job details</t>
  </si>
  <si>
    <t xml:space="preserve">Compute vs storage tradeoffs</t>
  </si>
  <si>
    <t xml:space="preserve">Denormalize/precompute vs on-demand cost</t>
  </si>
  <si>
    <t xml:space="preserve">Cost modeling of design choices</t>
  </si>
  <si>
    <t xml:space="preserve">Version control for pipelines</t>
  </si>
  <si>
    <t xml:space="preserve">Git practices for ETL code</t>
  </si>
  <si>
    <t xml:space="preserve">Branching/review workflow for data code</t>
  </si>
  <si>
    <t xml:space="preserve">Glue Version Control</t>
  </si>
  <si>
    <t xml:space="preserve">Saw this tab in Glue job UI</t>
  </si>
  <si>
    <t xml:space="preserve">Infrastructure as code</t>
  </si>
  <si>
    <t xml:space="preserve">Terraform / CloudFormation for data infra</t>
  </si>
  <si>
    <t xml:space="preserve">Reproducible environment provisioning</t>
  </si>
  <si>
    <t xml:space="preserve">CloudFormation</t>
  </si>
  <si>
    <t xml:space="preserve">This lab was IaC-provisioned</t>
  </si>
  <si>
    <t xml:space="preserve">Testing in CI</t>
  </si>
  <si>
    <t xml:space="preserve">Running unit/data tests on PR</t>
  </si>
  <si>
    <t xml:space="preserve">Automated gate before merge</t>
  </si>
  <si>
    <t xml:space="preserve">Environment promotion</t>
  </si>
  <si>
    <t xml:space="preserve">dev / staging / prod pipeline promotion</t>
  </si>
  <si>
    <t xml:space="preserve">Safe rollout process</t>
  </si>
  <si>
    <t xml:space="preserve">Deployment automation</t>
  </si>
  <si>
    <t xml:space="preserve">Automated job/DAG deployment</t>
  </si>
  <si>
    <t xml:space="preserve">CI/CD pipeline for data code</t>
  </si>
  <si>
    <t xml:space="preserve">CloudWatch metrics &amp; logs</t>
  </si>
  <si>
    <t xml:space="preserve">Job monitoring basics</t>
  </si>
  <si>
    <t xml:space="preserve">Reading job run logs and metrics</t>
  </si>
  <si>
    <t xml:space="preserve">CloudWatch</t>
  </si>
  <si>
    <t xml:space="preserve">Saw 'Job metrics' checkbox in this lab</t>
  </si>
  <si>
    <t xml:space="preserve">Alerting on failures</t>
  </si>
  <si>
    <t xml:space="preserve">SNS / CloudWatch alarms</t>
  </si>
  <si>
    <t xml:space="preserve">Getting notified when a job fails</t>
  </si>
  <si>
    <t xml:space="preserve">SNS</t>
  </si>
  <si>
    <t xml:space="preserve">Data lineage tracking</t>
  </si>
  <si>
    <t xml:space="preserve">OpenLineage / Amazon DataZone</t>
  </si>
  <si>
    <t xml:space="preserve">Tracing data from source to consumption</t>
  </si>
  <si>
    <t xml:space="preserve">DataZone</t>
  </si>
  <si>
    <t xml:space="preserve">Saw 'Generate lineage events' checkbox in this lab</t>
  </si>
  <si>
    <t xml:space="preserve">SLA monitoring</t>
  </si>
  <si>
    <t xml:space="preserve">Detecting late or missing data</t>
  </si>
  <si>
    <t xml:space="preserve">Freshness monitoring</t>
  </si>
  <si>
    <t xml:space="preserve">Cost/usage dashboards</t>
  </si>
  <si>
    <t xml:space="preserve">Tracking spend over time</t>
  </si>
  <si>
    <t xml:space="preserve">Visibility into pipeline cost</t>
  </si>
  <si>
    <t xml:space="preserve">Cost Explorer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</si>
</sst>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C7CE"/>
        <bgColor rgb="FFD9D9D9"/>
      </patternFill>
    </fill>
    <fill>
      <patternFill patternType="solid">
        <fgColor rgb="FFC6EFCE"/>
        <bgColor rgb="FFD9D9D9"/>
      </patternFill>
    </fill>
    <fill>
      <patternFill patternType="solid">
        <fgColor rgb="FFFFEB9C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8"/>
    <col collapsed="false" customWidth="true" hidden="false" outlineLevel="0" max="6" min="4" style="0" width="12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19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15" hidden="false" customHeight="false" outlineLevel="0" collapsed="false">
      <c r="A5" s="4" t="s">
        <v>8</v>
      </c>
      <c r="B5" s="5" t="n">
        <f aca="false">COUNTA('Batch ETL-Glue'!B2:B11)</f>
        <v>10</v>
      </c>
      <c r="C5" s="5" t="n">
        <f aca="false">COUNTIF('Batch ETL-Glue'!F2:F11,"Done")</f>
        <v>8</v>
      </c>
      <c r="D5" s="5" t="n">
        <f aca="false">COUNTIF('Batch ETL-Glue'!F2:F11,"In Progress")</f>
        <v>1</v>
      </c>
      <c r="E5" s="5" t="n">
        <f aca="false">B5-C5-D5</f>
        <v>1</v>
      </c>
      <c r="F5" s="6" t="n">
        <f aca="false">IFERROR(C5/B5,0)</f>
        <v>0.8</v>
      </c>
    </row>
    <row r="6" customFormat="false" ht="15" hidden="false" customHeight="false" outlineLevel="0" collapsed="false">
      <c r="A6" s="4" t="s">
        <v>9</v>
      </c>
      <c r="B6" s="5" t="n">
        <f aca="false">COUNTA('Data Modeling'!B2:B9)</f>
        <v>8</v>
      </c>
      <c r="C6" s="5" t="n">
        <f aca="false">COUNTIF('Data Modeling'!F2:F9,"Done")</f>
        <v>0</v>
      </c>
      <c r="D6" s="5" t="n">
        <f aca="false">COUNTIF('Data Modeling'!F2:F9,"In Progress")</f>
        <v>0</v>
      </c>
      <c r="E6" s="5" t="n">
        <f aca="false">B6-C6-D6</f>
        <v>8</v>
      </c>
      <c r="F6" s="6" t="n">
        <f aca="false">IFERROR(C6/B6,0)</f>
        <v>0</v>
      </c>
    </row>
    <row r="7" customFormat="false" ht="15" hidden="false" customHeight="false" outlineLevel="0" collapsed="false">
      <c r="A7" s="4" t="s">
        <v>10</v>
      </c>
      <c r="B7" s="5" t="n">
        <f aca="false">COUNTA(Orchestration!B2:B9)</f>
        <v>8</v>
      </c>
      <c r="C7" s="5" t="n">
        <f aca="false">COUNTIF(Orchestration!F2:F9,"Done")</f>
        <v>0</v>
      </c>
      <c r="D7" s="5" t="n">
        <f aca="false">COUNTIF(Orchestration!F2:F9,"In Progress")</f>
        <v>0</v>
      </c>
      <c r="E7" s="5" t="n">
        <f aca="false">B7-C7-D7</f>
        <v>8</v>
      </c>
      <c r="F7" s="6" t="n">
        <f aca="false">IFERROR(C7/B7,0)</f>
        <v>0</v>
      </c>
    </row>
    <row r="8" customFormat="false" ht="15" hidden="false" customHeight="false" outlineLevel="0" collapsed="false">
      <c r="A8" s="4" t="s">
        <v>11</v>
      </c>
      <c r="B8" s="5" t="n">
        <f aca="false">COUNTA(Streaming!B2:B8)</f>
        <v>7</v>
      </c>
      <c r="C8" s="5" t="n">
        <f aca="false">COUNTIF(Streaming!F2:F8,"Done")</f>
        <v>0</v>
      </c>
      <c r="D8" s="5" t="n">
        <f aca="false">COUNTIF(Streaming!F2:F8,"In Progress")</f>
        <v>0</v>
      </c>
      <c r="E8" s="5" t="n">
        <f aca="false">B8-C8-D8</f>
        <v>7</v>
      </c>
      <c r="F8" s="6" t="n">
        <f aca="false">IFERROR(C8/B8,0)</f>
        <v>0</v>
      </c>
    </row>
    <row r="9" customFormat="false" ht="15" hidden="false" customHeight="false" outlineLevel="0" collapsed="false">
      <c r="A9" s="4" t="s">
        <v>12</v>
      </c>
      <c r="B9" s="5" t="n">
        <f aca="false">COUNTA('Data Quality'!B2:B7)</f>
        <v>6</v>
      </c>
      <c r="C9" s="5" t="n">
        <f aca="false">COUNTIF('Data Quality'!F2:F7,"Done")</f>
        <v>0</v>
      </c>
      <c r="D9" s="5" t="n">
        <f aca="false">COUNTIF('Data Quality'!F2:F7,"In Progress")</f>
        <v>0</v>
      </c>
      <c r="E9" s="5" t="n">
        <f aca="false">B9-C9-D9</f>
        <v>6</v>
      </c>
      <c r="F9" s="6" t="n">
        <f aca="false">IFERROR(C9/B9,0)</f>
        <v>0</v>
      </c>
    </row>
    <row r="10" customFormat="false" ht="15" hidden="false" customHeight="false" outlineLevel="0" collapsed="false">
      <c r="A10" s="4" t="s">
        <v>13</v>
      </c>
      <c r="B10" s="5" t="n">
        <f aca="false">COUNTA('Perf Tuning'!B2:B9)</f>
        <v>8</v>
      </c>
      <c r="C10" s="5" t="n">
        <f aca="false">COUNTIF('Perf Tuning'!F2:F9,"Done")</f>
        <v>0</v>
      </c>
      <c r="D10" s="5" t="n">
        <f aca="false">COUNTIF('Perf Tuning'!F2:F9,"In Progress")</f>
        <v>0</v>
      </c>
      <c r="E10" s="5" t="n">
        <f aca="false">B10-C10-D10</f>
        <v>8</v>
      </c>
      <c r="F10" s="6" t="n">
        <f aca="false">IFERROR(C10/B10,0)</f>
        <v>0</v>
      </c>
    </row>
    <row r="11" customFormat="false" ht="15" hidden="false" customHeight="false" outlineLevel="0" collapsed="false">
      <c r="A11" s="4" t="s">
        <v>14</v>
      </c>
      <c r="B11" s="5" t="n">
        <f aca="false">COUNTA('Modern ELT-dbt'!B2:B7)</f>
        <v>6</v>
      </c>
      <c r="C11" s="5" t="n">
        <f aca="false">COUNTIF('Modern ELT-dbt'!F2:F7,"Done")</f>
        <v>0</v>
      </c>
      <c r="D11" s="5" t="n">
        <f aca="false">COUNTIF('Modern ELT-dbt'!F2:F7,"In Progress")</f>
        <v>0</v>
      </c>
      <c r="E11" s="5" t="n">
        <f aca="false">B11-C11-D11</f>
        <v>6</v>
      </c>
      <c r="F11" s="6" t="n">
        <f aca="false">IFERROR(C11/B11,0)</f>
        <v>0</v>
      </c>
    </row>
    <row r="12" customFormat="false" ht="15" hidden="false" customHeight="false" outlineLevel="0" collapsed="false">
      <c r="A12" s="4" t="s">
        <v>15</v>
      </c>
      <c r="B12" s="5" t="n">
        <f aca="false">COUNTA('Governance-Security'!B2:B7)</f>
        <v>6</v>
      </c>
      <c r="C12" s="5" t="n">
        <f aca="false">COUNTIF('Governance-Security'!F2:F7,"Done")</f>
        <v>1</v>
      </c>
      <c r="D12" s="5" t="n">
        <f aca="false">COUNTIF('Governance-Security'!F2:F7,"In Progress")</f>
        <v>0</v>
      </c>
      <c r="E12" s="5" t="n">
        <f aca="false">B12-C12-D12</f>
        <v>5</v>
      </c>
      <c r="F12" s="6" t="n">
        <f aca="false">IFERROR(C12/B12,0)</f>
        <v>0.166666666666667</v>
      </c>
    </row>
    <row r="13" customFormat="false" ht="15" hidden="false" customHeight="false" outlineLevel="0" collapsed="false">
      <c r="A13" s="4" t="s">
        <v>16</v>
      </c>
      <c r="B13" s="5" t="n">
        <f aca="false">COUNTA('Cost Optimization'!B2:B6)</f>
        <v>5</v>
      </c>
      <c r="C13" s="5" t="n">
        <f aca="false">COUNTIF('Cost Optimization'!F2:F6,"Done")</f>
        <v>0</v>
      </c>
      <c r="D13" s="5" t="n">
        <f aca="false">COUNTIF('Cost Optimization'!F2:F6,"In Progress")</f>
        <v>0</v>
      </c>
      <c r="E13" s="5" t="n">
        <f aca="false">B13-C13-D13</f>
        <v>5</v>
      </c>
      <c r="F13" s="6" t="n">
        <f aca="false">IFERROR(C13/B13,0)</f>
        <v>0</v>
      </c>
    </row>
    <row r="14" customFormat="false" ht="15" hidden="false" customHeight="false" outlineLevel="0" collapsed="false">
      <c r="A14" s="4" t="s">
        <v>17</v>
      </c>
      <c r="B14" s="5" t="n">
        <f aca="false">COUNTA('CI-CD'!B2:B6)</f>
        <v>5</v>
      </c>
      <c r="C14" s="5" t="n">
        <f aca="false">COUNTIF('CI-CD'!F2:F6,"Done")</f>
        <v>0</v>
      </c>
      <c r="D14" s="5" t="n">
        <f aca="false">COUNTIF('CI-CD'!F2:F6,"In Progress")</f>
        <v>0</v>
      </c>
      <c r="E14" s="5" t="n">
        <f aca="false">B14-C14-D14</f>
        <v>5</v>
      </c>
      <c r="F14" s="6" t="n">
        <f aca="false">IFERROR(C14/B14,0)</f>
        <v>0</v>
      </c>
    </row>
    <row r="15" customFormat="false" ht="15" hidden="false" customHeight="false" outlineLevel="0" collapsed="false">
      <c r="A15" s="4" t="s">
        <v>18</v>
      </c>
      <c r="B15" s="5" t="n">
        <f aca="false">COUNTA(Observability!B2:B6)</f>
        <v>5</v>
      </c>
      <c r="C15" s="5" t="n">
        <f aca="false">COUNTIF(Observability!F2:F6,"Done")</f>
        <v>0</v>
      </c>
      <c r="D15" s="5" t="n">
        <f aca="false">COUNTIF(Observability!F2:F6,"In Progress")</f>
        <v>0</v>
      </c>
      <c r="E15" s="5" t="n">
        <f aca="false">B15-C15-D15</f>
        <v>5</v>
      </c>
      <c r="F15" s="6" t="n">
        <f aca="false">IFERROR(C15/B15,0)</f>
        <v>0</v>
      </c>
    </row>
    <row r="16" customFormat="false" ht="15" hidden="false" customHeight="false" outlineLevel="0" collapsed="false">
      <c r="A16" s="7" t="s">
        <v>19</v>
      </c>
      <c r="B16" s="8" t="n">
        <f aca="false">SUM(B5:B15)</f>
        <v>74</v>
      </c>
      <c r="C16" s="8" t="n">
        <f aca="false">SUM(C5:C15)</f>
        <v>9</v>
      </c>
      <c r="D16" s="8" t="n">
        <f aca="false">SUM(D5:D15)</f>
        <v>1</v>
      </c>
      <c r="E16" s="8" t="n">
        <f aca="false">SUM(E5:E15)</f>
        <v>64</v>
      </c>
      <c r="F16" s="9" t="n">
        <f aca="false">IFERROR(C16/B16,0)</f>
        <v>0.121621621621622</v>
      </c>
    </row>
    <row r="18" customFormat="false" ht="15" hidden="false" customHeight="false" outlineLevel="0" collapsed="false">
      <c r="A18" s="10" t="s">
        <v>20</v>
      </c>
      <c r="B18" s="10"/>
      <c r="C18" s="10"/>
      <c r="D18" s="10"/>
      <c r="E18" s="10"/>
      <c r="F18" s="10"/>
    </row>
  </sheetData>
  <mergeCells count="3">
    <mergeCell ref="A1:F1"/>
    <mergeCell ref="A2:F2"/>
    <mergeCell ref="A18:F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3" min="2" style="0" width="26"/>
    <col collapsed="false" customWidth="true" hidden="false" outlineLevel="0" max="4" min="4" style="0" width="46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7" min="7" style="0" width="20"/>
    <col collapsed="false" customWidth="true" hidden="false" outlineLevel="0" max="8" min="8" style="0" width="26"/>
    <col collapsed="false" customWidth="true" hidden="false" outlineLevel="0" max="9" min="9" style="0" width="30"/>
  </cols>
  <sheetData>
    <row r="1" customFormat="false" ht="24" hidden="false" customHeight="true" outlineLevel="0" collapsed="false">
      <c r="A1" s="11" t="s">
        <v>21</v>
      </c>
      <c r="B1" s="11" t="s">
        <v>22</v>
      </c>
      <c r="C1" s="11" t="s">
        <v>23</v>
      </c>
      <c r="D1" s="11" t="s">
        <v>24</v>
      </c>
      <c r="E1" s="11" t="s">
        <v>25</v>
      </c>
      <c r="F1" s="11" t="s">
        <v>26</v>
      </c>
      <c r="G1" s="11" t="s">
        <v>27</v>
      </c>
      <c r="H1" s="11" t="s">
        <v>28</v>
      </c>
      <c r="I1" s="11" t="s">
        <v>29</v>
      </c>
    </row>
    <row r="2" customFormat="false" ht="23.85" hidden="false" customHeight="false" outlineLevel="0" collapsed="false">
      <c r="A2" s="12" t="n">
        <v>1</v>
      </c>
      <c r="B2" s="13" t="s">
        <v>30</v>
      </c>
      <c r="C2" s="13" t="s">
        <v>31</v>
      </c>
      <c r="D2" s="13" t="s">
        <v>32</v>
      </c>
      <c r="E2" s="12" t="s">
        <v>33</v>
      </c>
      <c r="F2" s="14" t="s">
        <v>6</v>
      </c>
      <c r="G2" s="12" t="s">
        <v>34</v>
      </c>
      <c r="H2" s="13" t="s">
        <v>35</v>
      </c>
      <c r="I2" s="13"/>
    </row>
    <row r="3" customFormat="false" ht="23.85" hidden="false" customHeight="false" outlineLevel="0" collapsed="false">
      <c r="A3" s="12" t="n">
        <v>2</v>
      </c>
      <c r="B3" s="13" t="s">
        <v>36</v>
      </c>
      <c r="C3" s="13" t="s">
        <v>37</v>
      </c>
      <c r="D3" s="13" t="s">
        <v>38</v>
      </c>
      <c r="E3" s="12" t="s">
        <v>33</v>
      </c>
      <c r="F3" s="15" t="s">
        <v>4</v>
      </c>
      <c r="G3" s="12" t="s">
        <v>39</v>
      </c>
      <c r="H3" s="13" t="s">
        <v>40</v>
      </c>
      <c r="I3" s="13" t="s">
        <v>41</v>
      </c>
    </row>
    <row r="4" customFormat="false" ht="15" hidden="false" customHeight="false" outlineLevel="0" collapsed="false">
      <c r="A4" s="12" t="n">
        <v>3</v>
      </c>
      <c r="B4" s="13" t="s">
        <v>42</v>
      </c>
      <c r="C4" s="13" t="s">
        <v>43</v>
      </c>
      <c r="D4" s="13" t="s">
        <v>44</v>
      </c>
      <c r="E4" s="12" t="s">
        <v>33</v>
      </c>
      <c r="F4" s="15" t="s">
        <v>4</v>
      </c>
      <c r="G4" s="12" t="s">
        <v>45</v>
      </c>
      <c r="H4" s="13" t="s">
        <v>40</v>
      </c>
      <c r="I4" s="13" t="s">
        <v>46</v>
      </c>
    </row>
    <row r="5" customFormat="false" ht="23.85" hidden="false" customHeight="false" outlineLevel="0" collapsed="false">
      <c r="A5" s="12" t="n">
        <v>4</v>
      </c>
      <c r="B5" s="13" t="s">
        <v>47</v>
      </c>
      <c r="C5" s="13" t="s">
        <v>48</v>
      </c>
      <c r="D5" s="13" t="s">
        <v>49</v>
      </c>
      <c r="E5" s="12" t="s">
        <v>33</v>
      </c>
      <c r="F5" s="15" t="s">
        <v>4</v>
      </c>
      <c r="G5" s="12" t="s">
        <v>50</v>
      </c>
      <c r="H5" s="13" t="s">
        <v>51</v>
      </c>
      <c r="I5" s="13" t="s">
        <v>52</v>
      </c>
    </row>
    <row r="6" customFormat="false" ht="23.85" hidden="false" customHeight="false" outlineLevel="0" collapsed="false">
      <c r="A6" s="12" t="n">
        <v>5</v>
      </c>
      <c r="B6" s="13" t="s">
        <v>53</v>
      </c>
      <c r="C6" s="13" t="s">
        <v>54</v>
      </c>
      <c r="D6" s="13" t="s">
        <v>55</v>
      </c>
      <c r="E6" s="12" t="s">
        <v>33</v>
      </c>
      <c r="F6" s="15" t="s">
        <v>4</v>
      </c>
      <c r="G6" s="12" t="s">
        <v>56</v>
      </c>
      <c r="H6" s="13" t="s">
        <v>40</v>
      </c>
      <c r="I6" s="13" t="s">
        <v>57</v>
      </c>
    </row>
    <row r="7" customFormat="false" ht="23.85" hidden="false" customHeight="false" outlineLevel="0" collapsed="false">
      <c r="A7" s="12" t="n">
        <v>6</v>
      </c>
      <c r="B7" s="13" t="s">
        <v>58</v>
      </c>
      <c r="C7" s="13" t="s">
        <v>59</v>
      </c>
      <c r="D7" s="13" t="s">
        <v>60</v>
      </c>
      <c r="E7" s="12" t="s">
        <v>33</v>
      </c>
      <c r="F7" s="15" t="s">
        <v>4</v>
      </c>
      <c r="G7" s="12" t="s">
        <v>61</v>
      </c>
      <c r="H7" s="13" t="s">
        <v>40</v>
      </c>
      <c r="I7" s="13"/>
    </row>
    <row r="8" customFormat="false" ht="23.85" hidden="false" customHeight="false" outlineLevel="0" collapsed="false">
      <c r="A8" s="12" t="n">
        <v>7</v>
      </c>
      <c r="B8" s="13" t="s">
        <v>62</v>
      </c>
      <c r="C8" s="13" t="s">
        <v>63</v>
      </c>
      <c r="D8" s="13" t="s">
        <v>64</v>
      </c>
      <c r="E8" s="12" t="s">
        <v>65</v>
      </c>
      <c r="F8" s="15" t="s">
        <v>4</v>
      </c>
      <c r="G8" s="12" t="s">
        <v>66</v>
      </c>
      <c r="H8" s="13" t="s">
        <v>40</v>
      </c>
      <c r="I8" s="13" t="s">
        <v>67</v>
      </c>
    </row>
    <row r="9" customFormat="false" ht="23.85" hidden="false" customHeight="false" outlineLevel="0" collapsed="false">
      <c r="A9" s="12" t="n">
        <v>8</v>
      </c>
      <c r="B9" s="13" t="s">
        <v>68</v>
      </c>
      <c r="C9" s="13" t="s">
        <v>69</v>
      </c>
      <c r="D9" s="13" t="s">
        <v>70</v>
      </c>
      <c r="E9" s="12" t="s">
        <v>65</v>
      </c>
      <c r="F9" s="16" t="s">
        <v>5</v>
      </c>
      <c r="G9" s="12" t="s">
        <v>71</v>
      </c>
      <c r="H9" s="13" t="s">
        <v>40</v>
      </c>
      <c r="I9" s="13" t="s">
        <v>72</v>
      </c>
    </row>
    <row r="10" customFormat="false" ht="15" hidden="false" customHeight="false" outlineLevel="0" collapsed="false">
      <c r="A10" s="12" t="n">
        <v>9</v>
      </c>
      <c r="B10" s="13" t="s">
        <v>73</v>
      </c>
      <c r="C10" s="13" t="s">
        <v>74</v>
      </c>
      <c r="D10" s="13" t="s">
        <v>75</v>
      </c>
      <c r="E10" s="12" t="s">
        <v>65</v>
      </c>
      <c r="F10" s="15" t="s">
        <v>4</v>
      </c>
      <c r="G10" s="12" t="s">
        <v>76</v>
      </c>
      <c r="H10" s="13" t="s">
        <v>40</v>
      </c>
      <c r="I10" s="13"/>
    </row>
    <row r="11" customFormat="false" ht="15" hidden="false" customHeight="false" outlineLevel="0" collapsed="false">
      <c r="A11" s="12" t="n">
        <v>10</v>
      </c>
      <c r="B11" s="13" t="s">
        <v>77</v>
      </c>
      <c r="C11" s="13" t="s">
        <v>78</v>
      </c>
      <c r="D11" s="13" t="s">
        <v>79</v>
      </c>
      <c r="E11" s="12" t="s">
        <v>80</v>
      </c>
      <c r="F11" s="15" t="s">
        <v>4</v>
      </c>
      <c r="G11" s="12" t="s">
        <v>81</v>
      </c>
      <c r="H11" s="13" t="s">
        <v>40</v>
      </c>
      <c r="I11" s="13"/>
    </row>
  </sheetData>
  <dataValidations count="2">
    <dataValidation allowBlank="true" errorStyle="stop" operator="between" showDropDown="false" showErrorMessage="false" showInputMessage="false" sqref="E2:E50" type="list">
      <formula1>"High,Medium,Low"</formula1>
      <formula2>0</formula2>
    </dataValidation>
    <dataValidation allowBlank="true" errorStyle="stop" operator="between" showDropDown="false" showErrorMessage="false" showInputMessage="false" sqref="F2:F50" type="list">
      <formula1>"Not Started,In Progress,Done"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3" min="2" style="0" width="26"/>
    <col collapsed="false" customWidth="true" hidden="false" outlineLevel="0" max="4" min="4" style="0" width="46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7" min="7" style="0" width="20"/>
    <col collapsed="false" customWidth="true" hidden="false" outlineLevel="0" max="8" min="8" style="0" width="26"/>
    <col collapsed="false" customWidth="true" hidden="false" outlineLevel="0" max="9" min="9" style="0" width="30"/>
  </cols>
  <sheetData>
    <row r="1" customFormat="false" ht="24" hidden="false" customHeight="true" outlineLevel="0" collapsed="false">
      <c r="A1" s="11" t="s">
        <v>21</v>
      </c>
      <c r="B1" s="11" t="s">
        <v>22</v>
      </c>
      <c r="C1" s="11" t="s">
        <v>23</v>
      </c>
      <c r="D1" s="11" t="s">
        <v>24</v>
      </c>
      <c r="E1" s="11" t="s">
        <v>25</v>
      </c>
      <c r="F1" s="11" t="s">
        <v>26</v>
      </c>
      <c r="G1" s="11" t="s">
        <v>27</v>
      </c>
      <c r="H1" s="11" t="s">
        <v>28</v>
      </c>
      <c r="I1" s="11" t="s">
        <v>29</v>
      </c>
    </row>
    <row r="2" customFormat="false" ht="23.85" hidden="false" customHeight="false" outlineLevel="0" collapsed="false">
      <c r="A2" s="12" t="n">
        <v>1</v>
      </c>
      <c r="B2" s="13" t="s">
        <v>82</v>
      </c>
      <c r="C2" s="13" t="s">
        <v>83</v>
      </c>
      <c r="D2" s="13" t="s">
        <v>84</v>
      </c>
      <c r="E2" s="12" t="s">
        <v>33</v>
      </c>
      <c r="F2" s="14" t="s">
        <v>6</v>
      </c>
      <c r="G2" s="12" t="s">
        <v>85</v>
      </c>
      <c r="H2" s="13" t="s">
        <v>86</v>
      </c>
      <c r="I2" s="13"/>
    </row>
    <row r="3" customFormat="false" ht="15" hidden="false" customHeight="false" outlineLevel="0" collapsed="false">
      <c r="A3" s="12" t="n">
        <v>2</v>
      </c>
      <c r="B3" s="13" t="s">
        <v>87</v>
      </c>
      <c r="C3" s="13" t="s">
        <v>88</v>
      </c>
      <c r="D3" s="13" t="s">
        <v>89</v>
      </c>
      <c r="E3" s="12" t="s">
        <v>33</v>
      </c>
      <c r="F3" s="14" t="s">
        <v>6</v>
      </c>
      <c r="G3" s="12"/>
      <c r="H3" s="13"/>
      <c r="I3" s="13"/>
    </row>
    <row r="4" customFormat="false" ht="15" hidden="false" customHeight="false" outlineLevel="0" collapsed="false">
      <c r="A4" s="12" t="n">
        <v>3</v>
      </c>
      <c r="B4" s="13" t="s">
        <v>90</v>
      </c>
      <c r="C4" s="13" t="s">
        <v>91</v>
      </c>
      <c r="D4" s="13" t="s">
        <v>92</v>
      </c>
      <c r="E4" s="12" t="s">
        <v>33</v>
      </c>
      <c r="F4" s="14" t="s">
        <v>6</v>
      </c>
      <c r="G4" s="12"/>
      <c r="H4" s="13"/>
      <c r="I4" s="13"/>
    </row>
    <row r="5" customFormat="false" ht="15" hidden="false" customHeight="false" outlineLevel="0" collapsed="false">
      <c r="A5" s="12" t="n">
        <v>4</v>
      </c>
      <c r="B5" s="13" t="s">
        <v>93</v>
      </c>
      <c r="C5" s="13" t="s">
        <v>94</v>
      </c>
      <c r="D5" s="13" t="s">
        <v>95</v>
      </c>
      <c r="E5" s="12" t="s">
        <v>65</v>
      </c>
      <c r="F5" s="14" t="s">
        <v>6</v>
      </c>
      <c r="G5" s="12"/>
      <c r="H5" s="13"/>
      <c r="I5" s="13"/>
    </row>
    <row r="6" customFormat="false" ht="15" hidden="false" customHeight="false" outlineLevel="0" collapsed="false">
      <c r="A6" s="12" t="n">
        <v>5</v>
      </c>
      <c r="B6" s="13" t="s">
        <v>96</v>
      </c>
      <c r="C6" s="13" t="s">
        <v>97</v>
      </c>
      <c r="D6" s="13" t="s">
        <v>98</v>
      </c>
      <c r="E6" s="12" t="s">
        <v>33</v>
      </c>
      <c r="F6" s="14" t="s">
        <v>6</v>
      </c>
      <c r="G6" s="12"/>
      <c r="H6" s="13"/>
      <c r="I6" s="13"/>
    </row>
    <row r="7" customFormat="false" ht="15" hidden="false" customHeight="false" outlineLevel="0" collapsed="false">
      <c r="A7" s="12" t="n">
        <v>6</v>
      </c>
      <c r="B7" s="13" t="s">
        <v>99</v>
      </c>
      <c r="C7" s="13" t="s">
        <v>100</v>
      </c>
      <c r="D7" s="13" t="s">
        <v>101</v>
      </c>
      <c r="E7" s="12" t="s">
        <v>80</v>
      </c>
      <c r="F7" s="14" t="s">
        <v>6</v>
      </c>
      <c r="G7" s="12"/>
      <c r="H7" s="13"/>
      <c r="I7" s="13"/>
    </row>
    <row r="8" customFormat="false" ht="15" hidden="false" customHeight="false" outlineLevel="0" collapsed="false">
      <c r="A8" s="12" t="n">
        <v>7</v>
      </c>
      <c r="B8" s="13" t="s">
        <v>102</v>
      </c>
      <c r="C8" s="13" t="s">
        <v>103</v>
      </c>
      <c r="D8" s="13" t="s">
        <v>104</v>
      </c>
      <c r="E8" s="12" t="s">
        <v>80</v>
      </c>
      <c r="F8" s="14" t="s">
        <v>6</v>
      </c>
      <c r="G8" s="12"/>
      <c r="H8" s="13"/>
      <c r="I8" s="13"/>
    </row>
    <row r="9" customFormat="false" ht="23.85" hidden="false" customHeight="false" outlineLevel="0" collapsed="false">
      <c r="A9" s="12" t="n">
        <v>8</v>
      </c>
      <c r="B9" s="13" t="s">
        <v>105</v>
      </c>
      <c r="C9" s="13" t="s">
        <v>106</v>
      </c>
      <c r="D9" s="13" t="s">
        <v>107</v>
      </c>
      <c r="E9" s="12" t="s">
        <v>65</v>
      </c>
      <c r="F9" s="14" t="s">
        <v>6</v>
      </c>
      <c r="G9" s="12"/>
      <c r="H9" s="13"/>
      <c r="I9" s="13"/>
    </row>
  </sheetData>
  <dataValidations count="2">
    <dataValidation allowBlank="true" errorStyle="stop" operator="between" showDropDown="false" showErrorMessage="false" showInputMessage="false" sqref="E2:E50" type="list">
      <formula1>"High,Medium,Low"</formula1>
      <formula2>0</formula2>
    </dataValidation>
    <dataValidation allowBlank="true" errorStyle="stop" operator="between" showDropDown="false" showErrorMessage="false" showInputMessage="false" sqref="F2:F50" type="list">
      <formula1>"Not Started,In Progress,Done"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3" min="2" style="0" width="26"/>
    <col collapsed="false" customWidth="true" hidden="false" outlineLevel="0" max="4" min="4" style="0" width="46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7" min="7" style="0" width="20"/>
    <col collapsed="false" customWidth="true" hidden="false" outlineLevel="0" max="8" min="8" style="0" width="26"/>
    <col collapsed="false" customWidth="true" hidden="false" outlineLevel="0" max="9" min="9" style="0" width="30"/>
  </cols>
  <sheetData>
    <row r="1" customFormat="false" ht="24" hidden="false" customHeight="true" outlineLevel="0" collapsed="false">
      <c r="A1" s="11" t="s">
        <v>21</v>
      </c>
      <c r="B1" s="11" t="s">
        <v>22</v>
      </c>
      <c r="C1" s="11" t="s">
        <v>23</v>
      </c>
      <c r="D1" s="11" t="s">
        <v>24</v>
      </c>
      <c r="E1" s="11" t="s">
        <v>25</v>
      </c>
      <c r="F1" s="11" t="s">
        <v>26</v>
      </c>
      <c r="G1" s="11" t="s">
        <v>27</v>
      </c>
      <c r="H1" s="11" t="s">
        <v>28</v>
      </c>
      <c r="I1" s="11" t="s">
        <v>29</v>
      </c>
    </row>
    <row r="2" customFormat="false" ht="15" hidden="false" customHeight="false" outlineLevel="0" collapsed="false">
      <c r="A2" s="12" t="n">
        <v>1</v>
      </c>
      <c r="B2" s="13" t="s">
        <v>108</v>
      </c>
      <c r="C2" s="13" t="s">
        <v>109</v>
      </c>
      <c r="D2" s="13" t="s">
        <v>110</v>
      </c>
      <c r="E2" s="12" t="s">
        <v>33</v>
      </c>
      <c r="F2" s="14" t="s">
        <v>6</v>
      </c>
      <c r="G2" s="12" t="s">
        <v>111</v>
      </c>
      <c r="H2" s="13" t="s">
        <v>112</v>
      </c>
      <c r="I2" s="13"/>
    </row>
    <row r="3" customFormat="false" ht="15" hidden="false" customHeight="false" outlineLevel="0" collapsed="false">
      <c r="A3" s="12" t="n">
        <v>2</v>
      </c>
      <c r="B3" s="13" t="s">
        <v>113</v>
      </c>
      <c r="C3" s="13" t="s">
        <v>114</v>
      </c>
      <c r="D3" s="13" t="s">
        <v>115</v>
      </c>
      <c r="E3" s="12" t="s">
        <v>33</v>
      </c>
      <c r="F3" s="14" t="s">
        <v>6</v>
      </c>
      <c r="G3" s="12" t="s">
        <v>111</v>
      </c>
      <c r="H3" s="13"/>
      <c r="I3" s="13"/>
    </row>
    <row r="4" customFormat="false" ht="23.85" hidden="false" customHeight="false" outlineLevel="0" collapsed="false">
      <c r="A4" s="12" t="n">
        <v>3</v>
      </c>
      <c r="B4" s="13" t="s">
        <v>116</v>
      </c>
      <c r="C4" s="13" t="s">
        <v>117</v>
      </c>
      <c r="D4" s="13" t="s">
        <v>118</v>
      </c>
      <c r="E4" s="12" t="s">
        <v>65</v>
      </c>
      <c r="F4" s="14" t="s">
        <v>6</v>
      </c>
      <c r="G4" s="12" t="s">
        <v>111</v>
      </c>
      <c r="H4" s="13"/>
      <c r="I4" s="13"/>
    </row>
    <row r="5" customFormat="false" ht="23.85" hidden="false" customHeight="false" outlineLevel="0" collapsed="false">
      <c r="A5" s="12" t="n">
        <v>4</v>
      </c>
      <c r="B5" s="13" t="s">
        <v>119</v>
      </c>
      <c r="C5" s="13" t="s">
        <v>120</v>
      </c>
      <c r="D5" s="13" t="s">
        <v>121</v>
      </c>
      <c r="E5" s="12" t="s">
        <v>65</v>
      </c>
      <c r="F5" s="14" t="s">
        <v>6</v>
      </c>
      <c r="G5" s="12" t="s">
        <v>111</v>
      </c>
      <c r="H5" s="13"/>
      <c r="I5" s="13"/>
    </row>
    <row r="6" customFormat="false" ht="23.85" hidden="false" customHeight="false" outlineLevel="0" collapsed="false">
      <c r="A6" s="12" t="n">
        <v>5</v>
      </c>
      <c r="B6" s="13" t="s">
        <v>122</v>
      </c>
      <c r="C6" s="13" t="s">
        <v>123</v>
      </c>
      <c r="D6" s="13" t="s">
        <v>124</v>
      </c>
      <c r="E6" s="12" t="s">
        <v>33</v>
      </c>
      <c r="F6" s="14" t="s">
        <v>6</v>
      </c>
      <c r="G6" s="12" t="s">
        <v>111</v>
      </c>
      <c r="H6" s="13"/>
      <c r="I6" s="13"/>
    </row>
    <row r="7" customFormat="false" ht="23.85" hidden="false" customHeight="false" outlineLevel="0" collapsed="false">
      <c r="A7" s="12" t="n">
        <v>6</v>
      </c>
      <c r="B7" s="13" t="s">
        <v>125</v>
      </c>
      <c r="C7" s="13" t="s">
        <v>126</v>
      </c>
      <c r="D7" s="13" t="s">
        <v>127</v>
      </c>
      <c r="E7" s="12" t="s">
        <v>65</v>
      </c>
      <c r="F7" s="14" t="s">
        <v>6</v>
      </c>
      <c r="G7" s="12" t="s">
        <v>128</v>
      </c>
      <c r="H7" s="13"/>
      <c r="I7" s="13"/>
    </row>
    <row r="8" customFormat="false" ht="23.85" hidden="false" customHeight="false" outlineLevel="0" collapsed="false">
      <c r="A8" s="12" t="n">
        <v>7</v>
      </c>
      <c r="B8" s="13" t="s">
        <v>129</v>
      </c>
      <c r="C8" s="13" t="s">
        <v>130</v>
      </c>
      <c r="D8" s="13" t="s">
        <v>131</v>
      </c>
      <c r="E8" s="12" t="s">
        <v>65</v>
      </c>
      <c r="F8" s="14" t="s">
        <v>6</v>
      </c>
      <c r="G8" s="12"/>
      <c r="H8" s="13"/>
      <c r="I8" s="13" t="s">
        <v>132</v>
      </c>
    </row>
    <row r="9" customFormat="false" ht="15" hidden="false" customHeight="false" outlineLevel="0" collapsed="false">
      <c r="A9" s="12" t="n">
        <v>8</v>
      </c>
      <c r="B9" s="13" t="s">
        <v>133</v>
      </c>
      <c r="C9" s="13" t="s">
        <v>134</v>
      </c>
      <c r="D9" s="13" t="s">
        <v>135</v>
      </c>
      <c r="E9" s="12" t="s">
        <v>33</v>
      </c>
      <c r="F9" s="14" t="s">
        <v>6</v>
      </c>
      <c r="G9" s="12"/>
      <c r="H9" s="13"/>
      <c r="I9" s="13"/>
    </row>
  </sheetData>
  <dataValidations count="2">
    <dataValidation allowBlank="true" errorStyle="stop" operator="between" showDropDown="false" showErrorMessage="false" showInputMessage="false" sqref="E2:E50" type="list">
      <formula1>"High,Medium,Low"</formula1>
      <formula2>0</formula2>
    </dataValidation>
    <dataValidation allowBlank="true" errorStyle="stop" operator="between" showDropDown="false" showErrorMessage="false" showInputMessage="false" sqref="F2:F50" type="list">
      <formula1>"Not Started,In Progress,Done"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3" min="2" style="0" width="26"/>
    <col collapsed="false" customWidth="true" hidden="false" outlineLevel="0" max="4" min="4" style="0" width="46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7" min="7" style="0" width="20"/>
    <col collapsed="false" customWidth="true" hidden="false" outlineLevel="0" max="8" min="8" style="0" width="26"/>
    <col collapsed="false" customWidth="true" hidden="false" outlineLevel="0" max="9" min="9" style="0" width="30"/>
  </cols>
  <sheetData>
    <row r="1" customFormat="false" ht="24" hidden="false" customHeight="true" outlineLevel="0" collapsed="false">
      <c r="A1" s="11" t="s">
        <v>21</v>
      </c>
      <c r="B1" s="11" t="s">
        <v>22</v>
      </c>
      <c r="C1" s="11" t="s">
        <v>23</v>
      </c>
      <c r="D1" s="11" t="s">
        <v>24</v>
      </c>
      <c r="E1" s="11" t="s">
        <v>25</v>
      </c>
      <c r="F1" s="11" t="s">
        <v>26</v>
      </c>
      <c r="G1" s="11" t="s">
        <v>27</v>
      </c>
      <c r="H1" s="11" t="s">
        <v>28</v>
      </c>
      <c r="I1" s="11" t="s">
        <v>29</v>
      </c>
    </row>
    <row r="2" customFormat="false" ht="23.85" hidden="false" customHeight="false" outlineLevel="0" collapsed="false">
      <c r="A2" s="12" t="n">
        <v>1</v>
      </c>
      <c r="B2" s="13" t="s">
        <v>136</v>
      </c>
      <c r="C2" s="13" t="s">
        <v>137</v>
      </c>
      <c r="D2" s="13" t="s">
        <v>138</v>
      </c>
      <c r="E2" s="12" t="s">
        <v>33</v>
      </c>
      <c r="F2" s="14" t="s">
        <v>6</v>
      </c>
      <c r="G2" s="12" t="s">
        <v>139</v>
      </c>
      <c r="H2" s="13" t="s">
        <v>140</v>
      </c>
      <c r="I2" s="13"/>
    </row>
    <row r="3" customFormat="false" ht="23.85" hidden="false" customHeight="false" outlineLevel="0" collapsed="false">
      <c r="A3" s="12" t="n">
        <v>2</v>
      </c>
      <c r="B3" s="13" t="s">
        <v>141</v>
      </c>
      <c r="C3" s="13" t="s">
        <v>142</v>
      </c>
      <c r="D3" s="13" t="s">
        <v>143</v>
      </c>
      <c r="E3" s="12" t="s">
        <v>33</v>
      </c>
      <c r="F3" s="14" t="s">
        <v>6</v>
      </c>
      <c r="G3" s="12" t="s">
        <v>144</v>
      </c>
      <c r="H3" s="13"/>
      <c r="I3" s="13"/>
    </row>
    <row r="4" customFormat="false" ht="23.85" hidden="false" customHeight="false" outlineLevel="0" collapsed="false">
      <c r="A4" s="12" t="n">
        <v>3</v>
      </c>
      <c r="B4" s="13" t="s">
        <v>145</v>
      </c>
      <c r="C4" s="13" t="s">
        <v>146</v>
      </c>
      <c r="D4" s="13" t="s">
        <v>147</v>
      </c>
      <c r="E4" s="12" t="s">
        <v>33</v>
      </c>
      <c r="F4" s="14" t="s">
        <v>6</v>
      </c>
      <c r="G4" s="12" t="s">
        <v>148</v>
      </c>
      <c r="H4" s="13"/>
      <c r="I4" s="13"/>
    </row>
    <row r="5" customFormat="false" ht="15" hidden="false" customHeight="false" outlineLevel="0" collapsed="false">
      <c r="A5" s="12" t="n">
        <v>4</v>
      </c>
      <c r="B5" s="13" t="s">
        <v>149</v>
      </c>
      <c r="C5" s="13" t="s">
        <v>150</v>
      </c>
      <c r="D5" s="13" t="s">
        <v>151</v>
      </c>
      <c r="E5" s="12" t="s">
        <v>65</v>
      </c>
      <c r="F5" s="14" t="s">
        <v>6</v>
      </c>
      <c r="G5" s="12"/>
      <c r="H5" s="13"/>
      <c r="I5" s="13"/>
    </row>
    <row r="6" customFormat="false" ht="15" hidden="false" customHeight="false" outlineLevel="0" collapsed="false">
      <c r="A6" s="12" t="n">
        <v>5</v>
      </c>
      <c r="B6" s="13" t="s">
        <v>152</v>
      </c>
      <c r="C6" s="13" t="s">
        <v>153</v>
      </c>
      <c r="D6" s="13" t="s">
        <v>154</v>
      </c>
      <c r="E6" s="12" t="s">
        <v>33</v>
      </c>
      <c r="F6" s="14" t="s">
        <v>6</v>
      </c>
      <c r="G6" s="12"/>
      <c r="H6" s="13"/>
      <c r="I6" s="13"/>
    </row>
    <row r="7" customFormat="false" ht="23.85" hidden="false" customHeight="false" outlineLevel="0" collapsed="false">
      <c r="A7" s="12" t="n">
        <v>6</v>
      </c>
      <c r="B7" s="13" t="s">
        <v>155</v>
      </c>
      <c r="C7" s="13" t="s">
        <v>156</v>
      </c>
      <c r="D7" s="13" t="s">
        <v>157</v>
      </c>
      <c r="E7" s="12" t="s">
        <v>65</v>
      </c>
      <c r="F7" s="14" t="s">
        <v>6</v>
      </c>
      <c r="G7" s="12"/>
      <c r="H7" s="13"/>
      <c r="I7" s="13"/>
    </row>
    <row r="8" customFormat="false" ht="23.85" hidden="false" customHeight="false" outlineLevel="0" collapsed="false">
      <c r="A8" s="12" t="n">
        <v>7</v>
      </c>
      <c r="B8" s="13" t="s">
        <v>158</v>
      </c>
      <c r="C8" s="13" t="s">
        <v>159</v>
      </c>
      <c r="D8" s="13" t="s">
        <v>160</v>
      </c>
      <c r="E8" s="12" t="s">
        <v>80</v>
      </c>
      <c r="F8" s="14" t="s">
        <v>6</v>
      </c>
      <c r="G8" s="12" t="s">
        <v>161</v>
      </c>
      <c r="H8" s="13"/>
      <c r="I8" s="13"/>
    </row>
  </sheetData>
  <dataValidations count="2">
    <dataValidation allowBlank="true" errorStyle="stop" operator="between" showDropDown="false" showErrorMessage="false" showInputMessage="false" sqref="E2:E50" type="list">
      <formula1>"High,Medium,Low"</formula1>
      <formula2>0</formula2>
    </dataValidation>
    <dataValidation allowBlank="true" errorStyle="stop" operator="between" showDropDown="false" showErrorMessage="false" showInputMessage="false" sqref="F2:F50" type="list">
      <formula1>"Not Started,In Progress,Done"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3" min="2" style="0" width="26"/>
    <col collapsed="false" customWidth="true" hidden="false" outlineLevel="0" max="4" min="4" style="0" width="46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7" min="7" style="0" width="20"/>
    <col collapsed="false" customWidth="true" hidden="false" outlineLevel="0" max="8" min="8" style="0" width="26"/>
    <col collapsed="false" customWidth="true" hidden="false" outlineLevel="0" max="9" min="9" style="0" width="30"/>
  </cols>
  <sheetData>
    <row r="1" customFormat="false" ht="24" hidden="false" customHeight="true" outlineLevel="0" collapsed="false">
      <c r="A1" s="11" t="s">
        <v>21</v>
      </c>
      <c r="B1" s="11" t="s">
        <v>22</v>
      </c>
      <c r="C1" s="11" t="s">
        <v>23</v>
      </c>
      <c r="D1" s="11" t="s">
        <v>24</v>
      </c>
      <c r="E1" s="11" t="s">
        <v>25</v>
      </c>
      <c r="F1" s="11" t="s">
        <v>26</v>
      </c>
      <c r="G1" s="11" t="s">
        <v>27</v>
      </c>
      <c r="H1" s="11" t="s">
        <v>28</v>
      </c>
      <c r="I1" s="11" t="s">
        <v>29</v>
      </c>
    </row>
    <row r="2" customFormat="false" ht="15" hidden="false" customHeight="false" outlineLevel="0" collapsed="false">
      <c r="A2" s="12" t="n">
        <v>1</v>
      </c>
      <c r="B2" s="13" t="s">
        <v>162</v>
      </c>
      <c r="C2" s="13" t="s">
        <v>163</v>
      </c>
      <c r="D2" s="13" t="s">
        <v>164</v>
      </c>
      <c r="E2" s="12" t="s">
        <v>33</v>
      </c>
      <c r="F2" s="14" t="s">
        <v>6</v>
      </c>
      <c r="G2" s="12"/>
      <c r="H2" s="13" t="s">
        <v>165</v>
      </c>
      <c r="I2" s="13"/>
    </row>
    <row r="3" customFormat="false" ht="15" hidden="false" customHeight="false" outlineLevel="0" collapsed="false">
      <c r="A3" s="12" t="n">
        <v>2</v>
      </c>
      <c r="B3" s="13" t="s">
        <v>166</v>
      </c>
      <c r="C3" s="13" t="s">
        <v>167</v>
      </c>
      <c r="D3" s="13" t="s">
        <v>168</v>
      </c>
      <c r="E3" s="12" t="s">
        <v>33</v>
      </c>
      <c r="F3" s="14" t="s">
        <v>6</v>
      </c>
      <c r="G3" s="12" t="s">
        <v>169</v>
      </c>
      <c r="H3" s="13"/>
      <c r="I3" s="13"/>
    </row>
    <row r="4" customFormat="false" ht="23.85" hidden="false" customHeight="false" outlineLevel="0" collapsed="false">
      <c r="A4" s="12" t="n">
        <v>3</v>
      </c>
      <c r="B4" s="13" t="s">
        <v>170</v>
      </c>
      <c r="C4" s="13" t="s">
        <v>171</v>
      </c>
      <c r="D4" s="13" t="s">
        <v>172</v>
      </c>
      <c r="E4" s="12" t="s">
        <v>65</v>
      </c>
      <c r="F4" s="14" t="s">
        <v>6</v>
      </c>
      <c r="G4" s="12" t="s">
        <v>161</v>
      </c>
      <c r="H4" s="13"/>
      <c r="I4" s="13"/>
    </row>
    <row r="5" customFormat="false" ht="23.85" hidden="false" customHeight="false" outlineLevel="0" collapsed="false">
      <c r="A5" s="12" t="n">
        <v>4</v>
      </c>
      <c r="B5" s="13" t="s">
        <v>173</v>
      </c>
      <c r="C5" s="13" t="s">
        <v>174</v>
      </c>
      <c r="D5" s="13" t="s">
        <v>175</v>
      </c>
      <c r="E5" s="12" t="s">
        <v>33</v>
      </c>
      <c r="F5" s="14" t="s">
        <v>6</v>
      </c>
      <c r="G5" s="12" t="s">
        <v>176</v>
      </c>
      <c r="H5" s="13"/>
      <c r="I5" s="13"/>
    </row>
    <row r="6" customFormat="false" ht="23.85" hidden="false" customHeight="false" outlineLevel="0" collapsed="false">
      <c r="A6" s="12" t="n">
        <v>5</v>
      </c>
      <c r="B6" s="13" t="s">
        <v>177</v>
      </c>
      <c r="C6" s="13" t="s">
        <v>178</v>
      </c>
      <c r="D6" s="13" t="s">
        <v>179</v>
      </c>
      <c r="E6" s="12" t="s">
        <v>65</v>
      </c>
      <c r="F6" s="14" t="s">
        <v>6</v>
      </c>
      <c r="G6" s="12"/>
      <c r="H6" s="13"/>
      <c r="I6" s="13"/>
    </row>
    <row r="7" customFormat="false" ht="23.85" hidden="false" customHeight="false" outlineLevel="0" collapsed="false">
      <c r="A7" s="12" t="n">
        <v>6</v>
      </c>
      <c r="B7" s="13" t="s">
        <v>180</v>
      </c>
      <c r="C7" s="13" t="s">
        <v>181</v>
      </c>
      <c r="D7" s="13" t="s">
        <v>182</v>
      </c>
      <c r="E7" s="12" t="s">
        <v>65</v>
      </c>
      <c r="F7" s="14" t="s">
        <v>6</v>
      </c>
      <c r="G7" s="12"/>
      <c r="H7" s="13"/>
      <c r="I7" s="13"/>
    </row>
  </sheetData>
  <dataValidations count="2">
    <dataValidation allowBlank="true" errorStyle="stop" operator="between" showDropDown="false" showErrorMessage="false" showInputMessage="false" sqref="E2:E50" type="list">
      <formula1>"High,Medium,Low"</formula1>
      <formula2>0</formula2>
    </dataValidation>
    <dataValidation allowBlank="true" errorStyle="stop" operator="between" showDropDown="false" showErrorMessage="false" showInputMessage="false" sqref="F2:F50" type="list">
      <formula1>"Not Started,In Progress,Done"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3" min="2" style="0" width="26"/>
    <col collapsed="false" customWidth="true" hidden="false" outlineLevel="0" max="4" min="4" style="0" width="46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7" min="7" style="0" width="20"/>
    <col collapsed="false" customWidth="true" hidden="false" outlineLevel="0" max="8" min="8" style="0" width="26"/>
    <col collapsed="false" customWidth="true" hidden="false" outlineLevel="0" max="9" min="9" style="0" width="30"/>
  </cols>
  <sheetData>
    <row r="1" customFormat="false" ht="24" hidden="false" customHeight="true" outlineLevel="0" collapsed="false">
      <c r="A1" s="11" t="s">
        <v>21</v>
      </c>
      <c r="B1" s="11" t="s">
        <v>22</v>
      </c>
      <c r="C1" s="11" t="s">
        <v>23</v>
      </c>
      <c r="D1" s="11" t="s">
        <v>24</v>
      </c>
      <c r="E1" s="11" t="s">
        <v>25</v>
      </c>
      <c r="F1" s="11" t="s">
        <v>26</v>
      </c>
      <c r="G1" s="11" t="s">
        <v>27</v>
      </c>
      <c r="H1" s="11" t="s">
        <v>28</v>
      </c>
      <c r="I1" s="11" t="s">
        <v>29</v>
      </c>
    </row>
    <row r="2" customFormat="false" ht="15" hidden="false" customHeight="false" outlineLevel="0" collapsed="false">
      <c r="A2" s="12" t="n">
        <v>1</v>
      </c>
      <c r="B2" s="13" t="s">
        <v>183</v>
      </c>
      <c r="C2" s="13" t="s">
        <v>184</v>
      </c>
      <c r="D2" s="13" t="s">
        <v>185</v>
      </c>
      <c r="E2" s="12" t="s">
        <v>33</v>
      </c>
      <c r="F2" s="14" t="s">
        <v>6</v>
      </c>
      <c r="G2" s="12" t="s">
        <v>186</v>
      </c>
      <c r="H2" s="13"/>
      <c r="I2" s="13"/>
    </row>
    <row r="3" customFormat="false" ht="23.85" hidden="false" customHeight="false" outlineLevel="0" collapsed="false">
      <c r="A3" s="12" t="n">
        <v>2</v>
      </c>
      <c r="B3" s="13" t="s">
        <v>187</v>
      </c>
      <c r="C3" s="13" t="s">
        <v>188</v>
      </c>
      <c r="D3" s="13" t="s">
        <v>189</v>
      </c>
      <c r="E3" s="12" t="s">
        <v>33</v>
      </c>
      <c r="F3" s="14" t="s">
        <v>6</v>
      </c>
      <c r="G3" s="12"/>
      <c r="H3" s="13"/>
      <c r="I3" s="13"/>
    </row>
    <row r="4" customFormat="false" ht="15" hidden="false" customHeight="false" outlineLevel="0" collapsed="false">
      <c r="A4" s="12" t="n">
        <v>3</v>
      </c>
      <c r="B4" s="13" t="s">
        <v>190</v>
      </c>
      <c r="C4" s="13" t="s">
        <v>191</v>
      </c>
      <c r="D4" s="13" t="s">
        <v>192</v>
      </c>
      <c r="E4" s="12" t="s">
        <v>33</v>
      </c>
      <c r="F4" s="14" t="s">
        <v>6</v>
      </c>
      <c r="G4" s="12"/>
      <c r="H4" s="13"/>
      <c r="I4" s="13"/>
    </row>
    <row r="5" customFormat="false" ht="23.85" hidden="false" customHeight="false" outlineLevel="0" collapsed="false">
      <c r="A5" s="12" t="n">
        <v>4</v>
      </c>
      <c r="B5" s="13" t="s">
        <v>193</v>
      </c>
      <c r="C5" s="13" t="s">
        <v>194</v>
      </c>
      <c r="D5" s="13" t="s">
        <v>195</v>
      </c>
      <c r="E5" s="12" t="s">
        <v>65</v>
      </c>
      <c r="F5" s="14" t="s">
        <v>6</v>
      </c>
      <c r="G5" s="12"/>
      <c r="H5" s="13"/>
      <c r="I5" s="13"/>
    </row>
    <row r="6" customFormat="false" ht="23.85" hidden="false" customHeight="false" outlineLevel="0" collapsed="false">
      <c r="A6" s="12" t="n">
        <v>5</v>
      </c>
      <c r="B6" s="13" t="s">
        <v>196</v>
      </c>
      <c r="C6" s="13" t="s">
        <v>197</v>
      </c>
      <c r="D6" s="13" t="s">
        <v>198</v>
      </c>
      <c r="E6" s="12" t="s">
        <v>33</v>
      </c>
      <c r="F6" s="14" t="s">
        <v>6</v>
      </c>
      <c r="G6" s="12"/>
      <c r="H6" s="13"/>
      <c r="I6" s="13" t="s">
        <v>199</v>
      </c>
    </row>
    <row r="7" customFormat="false" ht="23.85" hidden="false" customHeight="false" outlineLevel="0" collapsed="false">
      <c r="A7" s="12" t="n">
        <v>6</v>
      </c>
      <c r="B7" s="13" t="s">
        <v>200</v>
      </c>
      <c r="C7" s="13" t="s">
        <v>201</v>
      </c>
      <c r="D7" s="13" t="s">
        <v>202</v>
      </c>
      <c r="E7" s="12" t="s">
        <v>33</v>
      </c>
      <c r="F7" s="14" t="s">
        <v>6</v>
      </c>
      <c r="G7" s="12"/>
      <c r="H7" s="13"/>
      <c r="I7" s="13" t="s">
        <v>203</v>
      </c>
    </row>
    <row r="8" customFormat="false" ht="23.85" hidden="false" customHeight="false" outlineLevel="0" collapsed="false">
      <c r="A8" s="12" t="n">
        <v>7</v>
      </c>
      <c r="B8" s="13" t="s">
        <v>204</v>
      </c>
      <c r="C8" s="13" t="s">
        <v>205</v>
      </c>
      <c r="D8" s="13" t="s">
        <v>206</v>
      </c>
      <c r="E8" s="12" t="s">
        <v>65</v>
      </c>
      <c r="F8" s="14" t="s">
        <v>6</v>
      </c>
      <c r="G8" s="12" t="s">
        <v>207</v>
      </c>
      <c r="H8" s="13"/>
      <c r="I8" s="13"/>
    </row>
    <row r="9" customFormat="false" ht="15" hidden="false" customHeight="false" outlineLevel="0" collapsed="false">
      <c r="A9" s="12" t="n">
        <v>8</v>
      </c>
      <c r="B9" s="13" t="s">
        <v>208</v>
      </c>
      <c r="C9" s="13" t="s">
        <v>209</v>
      </c>
      <c r="D9" s="13" t="s">
        <v>210</v>
      </c>
      <c r="E9" s="12" t="s">
        <v>65</v>
      </c>
      <c r="F9" s="14" t="s">
        <v>6</v>
      </c>
      <c r="G9" s="12"/>
      <c r="H9" s="13"/>
      <c r="I9" s="13" t="s">
        <v>211</v>
      </c>
    </row>
  </sheetData>
  <dataValidations count="2">
    <dataValidation allowBlank="true" errorStyle="stop" operator="between" showDropDown="false" showErrorMessage="false" showInputMessage="false" sqref="E2:E50" type="list">
      <formula1>"High,Medium,Low"</formula1>
      <formula2>0</formula2>
    </dataValidation>
    <dataValidation allowBlank="true" errorStyle="stop" operator="between" showDropDown="false" showErrorMessage="false" showInputMessage="false" sqref="F2:F50" type="list">
      <formula1>"Not Started,In Progress,Done"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3" min="2" style="0" width="26"/>
    <col collapsed="false" customWidth="true" hidden="false" outlineLevel="0" max="4" min="4" style="0" width="46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7" min="7" style="0" width="20"/>
    <col collapsed="false" customWidth="true" hidden="false" outlineLevel="0" max="8" min="8" style="0" width="26"/>
    <col collapsed="false" customWidth="true" hidden="false" outlineLevel="0" max="9" min="9" style="0" width="30"/>
  </cols>
  <sheetData>
    <row r="1" customFormat="false" ht="24" hidden="false" customHeight="true" outlineLevel="0" collapsed="false">
      <c r="A1" s="11" t="s">
        <v>21</v>
      </c>
      <c r="B1" s="11" t="s">
        <v>22</v>
      </c>
      <c r="C1" s="11" t="s">
        <v>23</v>
      </c>
      <c r="D1" s="11" t="s">
        <v>24</v>
      </c>
      <c r="E1" s="11" t="s">
        <v>25</v>
      </c>
      <c r="F1" s="11" t="s">
        <v>26</v>
      </c>
      <c r="G1" s="11" t="s">
        <v>27</v>
      </c>
      <c r="H1" s="11" t="s">
        <v>28</v>
      </c>
      <c r="I1" s="11" t="s">
        <v>29</v>
      </c>
    </row>
    <row r="2" customFormat="false" ht="23.85" hidden="false" customHeight="false" outlineLevel="0" collapsed="false">
      <c r="A2" s="12" t="n">
        <v>1</v>
      </c>
      <c r="B2" s="13" t="s">
        <v>212</v>
      </c>
      <c r="C2" s="13" t="s">
        <v>213</v>
      </c>
      <c r="D2" s="13" t="s">
        <v>214</v>
      </c>
      <c r="E2" s="12" t="s">
        <v>33</v>
      </c>
      <c r="F2" s="14" t="s">
        <v>6</v>
      </c>
      <c r="G2" s="12"/>
      <c r="H2" s="13"/>
      <c r="I2" s="13"/>
    </row>
    <row r="3" customFormat="false" ht="23.85" hidden="false" customHeight="false" outlineLevel="0" collapsed="false">
      <c r="A3" s="12" t="n">
        <v>2</v>
      </c>
      <c r="B3" s="13" t="s">
        <v>215</v>
      </c>
      <c r="C3" s="13" t="s">
        <v>216</v>
      </c>
      <c r="D3" s="13" t="s">
        <v>217</v>
      </c>
      <c r="E3" s="12" t="s">
        <v>33</v>
      </c>
      <c r="F3" s="14" t="s">
        <v>6</v>
      </c>
      <c r="G3" s="12" t="s">
        <v>169</v>
      </c>
      <c r="H3" s="13"/>
      <c r="I3" s="13"/>
    </row>
    <row r="4" customFormat="false" ht="23.85" hidden="false" customHeight="false" outlineLevel="0" collapsed="false">
      <c r="A4" s="12" t="n">
        <v>3</v>
      </c>
      <c r="B4" s="13" t="s">
        <v>218</v>
      </c>
      <c r="C4" s="13" t="s">
        <v>219</v>
      </c>
      <c r="D4" s="13" t="s">
        <v>220</v>
      </c>
      <c r="E4" s="12" t="s">
        <v>33</v>
      </c>
      <c r="F4" s="14" t="s">
        <v>6</v>
      </c>
      <c r="G4" s="12" t="s">
        <v>169</v>
      </c>
      <c r="H4" s="13"/>
      <c r="I4" s="13"/>
    </row>
    <row r="5" customFormat="false" ht="23.85" hidden="false" customHeight="false" outlineLevel="0" collapsed="false">
      <c r="A5" s="12" t="n">
        <v>4</v>
      </c>
      <c r="B5" s="13" t="s">
        <v>221</v>
      </c>
      <c r="C5" s="13" t="s">
        <v>222</v>
      </c>
      <c r="D5" s="13" t="s">
        <v>223</v>
      </c>
      <c r="E5" s="12" t="s">
        <v>65</v>
      </c>
      <c r="F5" s="14" t="s">
        <v>6</v>
      </c>
      <c r="G5" s="12" t="s">
        <v>224</v>
      </c>
      <c r="H5" s="13"/>
      <c r="I5" s="13"/>
    </row>
    <row r="6" customFormat="false" ht="15" hidden="false" customHeight="false" outlineLevel="0" collapsed="false">
      <c r="A6" s="12" t="n">
        <v>5</v>
      </c>
      <c r="B6" s="13" t="s">
        <v>225</v>
      </c>
      <c r="C6" s="13" t="s">
        <v>226</v>
      </c>
      <c r="D6" s="13" t="s">
        <v>227</v>
      </c>
      <c r="E6" s="12" t="s">
        <v>80</v>
      </c>
      <c r="F6" s="14" t="s">
        <v>6</v>
      </c>
      <c r="G6" s="12" t="s">
        <v>169</v>
      </c>
      <c r="H6" s="13"/>
      <c r="I6" s="13"/>
    </row>
    <row r="7" customFormat="false" ht="15" hidden="false" customHeight="false" outlineLevel="0" collapsed="false">
      <c r="A7" s="12" t="n">
        <v>6</v>
      </c>
      <c r="B7" s="13" t="s">
        <v>228</v>
      </c>
      <c r="C7" s="13" t="s">
        <v>229</v>
      </c>
      <c r="D7" s="13" t="s">
        <v>230</v>
      </c>
      <c r="E7" s="12" t="s">
        <v>33</v>
      </c>
      <c r="F7" s="14" t="s">
        <v>6</v>
      </c>
      <c r="G7" s="12"/>
      <c r="H7" s="13"/>
      <c r="I7" s="13"/>
    </row>
  </sheetData>
  <dataValidations count="2">
    <dataValidation allowBlank="true" errorStyle="stop" operator="between" showDropDown="false" showErrorMessage="false" showInputMessage="false" sqref="E2:E50" type="list">
      <formula1>"High,Medium,Low"</formula1>
      <formula2>0</formula2>
    </dataValidation>
    <dataValidation allowBlank="true" errorStyle="stop" operator="between" showDropDown="false" showErrorMessage="false" showInputMessage="false" sqref="F2:F50" type="list">
      <formula1>"Not Started,In Progress,Done"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3" min="2" style="0" width="26"/>
    <col collapsed="false" customWidth="true" hidden="false" outlineLevel="0" max="4" min="4" style="0" width="46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7" min="7" style="0" width="20"/>
    <col collapsed="false" customWidth="true" hidden="false" outlineLevel="0" max="8" min="8" style="0" width="26"/>
    <col collapsed="false" customWidth="true" hidden="false" outlineLevel="0" max="9" min="9" style="0" width="30"/>
  </cols>
  <sheetData>
    <row r="1" customFormat="false" ht="24" hidden="false" customHeight="true" outlineLevel="0" collapsed="false">
      <c r="A1" s="11" t="s">
        <v>21</v>
      </c>
      <c r="B1" s="11" t="s">
        <v>22</v>
      </c>
      <c r="C1" s="11" t="s">
        <v>23</v>
      </c>
      <c r="D1" s="11" t="s">
        <v>24</v>
      </c>
      <c r="E1" s="11" t="s">
        <v>25</v>
      </c>
      <c r="F1" s="11" t="s">
        <v>26</v>
      </c>
      <c r="G1" s="11" t="s">
        <v>27</v>
      </c>
      <c r="H1" s="11" t="s">
        <v>28</v>
      </c>
      <c r="I1" s="11" t="s">
        <v>29</v>
      </c>
    </row>
    <row r="2" customFormat="false" ht="23.85" hidden="false" customHeight="false" outlineLevel="0" collapsed="false">
      <c r="A2" s="12" t="n">
        <v>1</v>
      </c>
      <c r="B2" s="13" t="s">
        <v>231</v>
      </c>
      <c r="C2" s="13" t="s">
        <v>232</v>
      </c>
      <c r="D2" s="13" t="s">
        <v>233</v>
      </c>
      <c r="E2" s="12" t="s">
        <v>33</v>
      </c>
      <c r="F2" s="14" t="s">
        <v>6</v>
      </c>
      <c r="G2" s="12" t="s">
        <v>66</v>
      </c>
      <c r="H2" s="13"/>
      <c r="I2" s="13"/>
    </row>
    <row r="3" customFormat="false" ht="15" hidden="false" customHeight="false" outlineLevel="0" collapsed="false">
      <c r="A3" s="12" t="n">
        <v>2</v>
      </c>
      <c r="B3" s="13" t="s">
        <v>234</v>
      </c>
      <c r="C3" s="13" t="s">
        <v>235</v>
      </c>
      <c r="D3" s="13" t="s">
        <v>236</v>
      </c>
      <c r="E3" s="12" t="s">
        <v>33</v>
      </c>
      <c r="F3" s="14" t="s">
        <v>6</v>
      </c>
      <c r="G3" s="12"/>
      <c r="H3" s="13"/>
      <c r="I3" s="13"/>
    </row>
    <row r="4" customFormat="false" ht="15" hidden="false" customHeight="false" outlineLevel="0" collapsed="false">
      <c r="A4" s="12" t="n">
        <v>3</v>
      </c>
      <c r="B4" s="13" t="s">
        <v>237</v>
      </c>
      <c r="C4" s="13" t="s">
        <v>238</v>
      </c>
      <c r="D4" s="13" t="s">
        <v>239</v>
      </c>
      <c r="E4" s="12" t="s">
        <v>65</v>
      </c>
      <c r="F4" s="14" t="s">
        <v>6</v>
      </c>
      <c r="G4" s="12" t="s">
        <v>240</v>
      </c>
      <c r="H4" s="13"/>
      <c r="I4" s="13"/>
    </row>
    <row r="5" customFormat="false" ht="15" hidden="false" customHeight="false" outlineLevel="0" collapsed="false">
      <c r="A5" s="12" t="n">
        <v>4</v>
      </c>
      <c r="B5" s="13" t="s">
        <v>241</v>
      </c>
      <c r="C5" s="13" t="s">
        <v>242</v>
      </c>
      <c r="D5" s="13" t="s">
        <v>243</v>
      </c>
      <c r="E5" s="12" t="s">
        <v>65</v>
      </c>
      <c r="F5" s="14" t="s">
        <v>6</v>
      </c>
      <c r="G5" s="12" t="s">
        <v>66</v>
      </c>
      <c r="H5" s="13"/>
      <c r="I5" s="13"/>
    </row>
    <row r="6" customFormat="false" ht="23.85" hidden="false" customHeight="false" outlineLevel="0" collapsed="false">
      <c r="A6" s="12" t="n">
        <v>5</v>
      </c>
      <c r="B6" s="13" t="s">
        <v>244</v>
      </c>
      <c r="C6" s="13" t="s">
        <v>245</v>
      </c>
      <c r="D6" s="13" t="s">
        <v>246</v>
      </c>
      <c r="E6" s="12" t="s">
        <v>80</v>
      </c>
      <c r="F6" s="14" t="s">
        <v>6</v>
      </c>
      <c r="G6" s="12"/>
      <c r="H6" s="13"/>
      <c r="I6" s="13"/>
    </row>
    <row r="7" customFormat="false" ht="15" hidden="false" customHeight="false" outlineLevel="0" collapsed="false">
      <c r="A7" s="12" t="n">
        <v>6</v>
      </c>
      <c r="B7" s="13" t="s">
        <v>247</v>
      </c>
      <c r="C7" s="13" t="s">
        <v>248</v>
      </c>
      <c r="D7" s="13" t="s">
        <v>249</v>
      </c>
      <c r="E7" s="12" t="s">
        <v>33</v>
      </c>
      <c r="F7" s="15" t="s">
        <v>4</v>
      </c>
      <c r="G7" s="12" t="s">
        <v>81</v>
      </c>
      <c r="H7" s="13" t="s">
        <v>40</v>
      </c>
      <c r="I7" s="13" t="s">
        <v>78</v>
      </c>
    </row>
  </sheetData>
  <dataValidations count="2">
    <dataValidation allowBlank="true" errorStyle="stop" operator="between" showDropDown="false" showErrorMessage="false" showInputMessage="false" sqref="E2:E50" type="list">
      <formula1>"High,Medium,Low"</formula1>
      <formula2>0</formula2>
    </dataValidation>
    <dataValidation allowBlank="true" errorStyle="stop" operator="between" showDropDown="false" showErrorMessage="false" showInputMessage="false" sqref="F2:F50" type="list">
      <formula1>"Not Started,In Progress,Done"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3" min="2" style="0" width="26"/>
    <col collapsed="false" customWidth="true" hidden="false" outlineLevel="0" max="4" min="4" style="0" width="46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7" min="7" style="0" width="20"/>
    <col collapsed="false" customWidth="true" hidden="false" outlineLevel="0" max="8" min="8" style="0" width="26"/>
    <col collapsed="false" customWidth="true" hidden="false" outlineLevel="0" max="9" min="9" style="0" width="30"/>
  </cols>
  <sheetData>
    <row r="1" customFormat="false" ht="24" hidden="false" customHeight="true" outlineLevel="0" collapsed="false">
      <c r="A1" s="11" t="s">
        <v>21</v>
      </c>
      <c r="B1" s="11" t="s">
        <v>22</v>
      </c>
      <c r="C1" s="11" t="s">
        <v>23</v>
      </c>
      <c r="D1" s="11" t="s">
        <v>24</v>
      </c>
      <c r="E1" s="11" t="s">
        <v>25</v>
      </c>
      <c r="F1" s="11" t="s">
        <v>26</v>
      </c>
      <c r="G1" s="11" t="s">
        <v>27</v>
      </c>
      <c r="H1" s="11" t="s">
        <v>28</v>
      </c>
      <c r="I1" s="11" t="s">
        <v>29</v>
      </c>
    </row>
    <row r="2" customFormat="false" ht="23.85" hidden="false" customHeight="false" outlineLevel="0" collapsed="false">
      <c r="A2" s="12" t="n">
        <v>1</v>
      </c>
      <c r="B2" s="13" t="s">
        <v>250</v>
      </c>
      <c r="C2" s="13" t="s">
        <v>251</v>
      </c>
      <c r="D2" s="13" t="s">
        <v>252</v>
      </c>
      <c r="E2" s="12" t="s">
        <v>65</v>
      </c>
      <c r="F2" s="14" t="s">
        <v>6</v>
      </c>
      <c r="G2" s="12" t="s">
        <v>253</v>
      </c>
      <c r="H2" s="13"/>
      <c r="I2" s="13"/>
    </row>
    <row r="3" customFormat="false" ht="15" hidden="false" customHeight="false" outlineLevel="0" collapsed="false">
      <c r="A3" s="12" t="n">
        <v>2</v>
      </c>
      <c r="B3" s="13" t="s">
        <v>254</v>
      </c>
      <c r="C3" s="13" t="s">
        <v>255</v>
      </c>
      <c r="D3" s="13" t="s">
        <v>256</v>
      </c>
      <c r="E3" s="12" t="s">
        <v>33</v>
      </c>
      <c r="F3" s="14" t="s">
        <v>6</v>
      </c>
      <c r="G3" s="12" t="s">
        <v>76</v>
      </c>
      <c r="H3" s="13"/>
      <c r="I3" s="13" t="s">
        <v>257</v>
      </c>
    </row>
    <row r="4" customFormat="false" ht="23.85" hidden="false" customHeight="false" outlineLevel="0" collapsed="false">
      <c r="A4" s="12" t="n">
        <v>3</v>
      </c>
      <c r="B4" s="13" t="s">
        <v>258</v>
      </c>
      <c r="C4" s="13" t="s">
        <v>259</v>
      </c>
      <c r="D4" s="13" t="s">
        <v>260</v>
      </c>
      <c r="E4" s="12" t="s">
        <v>65</v>
      </c>
      <c r="F4" s="14" t="s">
        <v>6</v>
      </c>
      <c r="G4" s="12" t="s">
        <v>261</v>
      </c>
      <c r="H4" s="13"/>
      <c r="I4" s="13" t="s">
        <v>262</v>
      </c>
    </row>
    <row r="5" customFormat="false" ht="23.85" hidden="false" customHeight="false" outlineLevel="0" collapsed="false">
      <c r="A5" s="12" t="n">
        <v>4</v>
      </c>
      <c r="B5" s="13" t="s">
        <v>263</v>
      </c>
      <c r="C5" s="13" t="s">
        <v>264</v>
      </c>
      <c r="D5" s="13" t="s">
        <v>265</v>
      </c>
      <c r="E5" s="12" t="s">
        <v>80</v>
      </c>
      <c r="F5" s="14" t="s">
        <v>6</v>
      </c>
      <c r="G5" s="12" t="s">
        <v>266</v>
      </c>
      <c r="H5" s="13"/>
      <c r="I5" s="13" t="s">
        <v>267</v>
      </c>
    </row>
    <row r="6" customFormat="false" ht="23.85" hidden="false" customHeight="false" outlineLevel="0" collapsed="false">
      <c r="A6" s="12" t="n">
        <v>5</v>
      </c>
      <c r="B6" s="13" t="s">
        <v>268</v>
      </c>
      <c r="C6" s="13" t="s">
        <v>269</v>
      </c>
      <c r="D6" s="13" t="s">
        <v>270</v>
      </c>
      <c r="E6" s="12" t="s">
        <v>65</v>
      </c>
      <c r="F6" s="14" t="s">
        <v>6</v>
      </c>
      <c r="G6" s="12"/>
      <c r="H6" s="13"/>
      <c r="I6" s="13"/>
    </row>
  </sheetData>
  <dataValidations count="2">
    <dataValidation allowBlank="true" errorStyle="stop" operator="between" showDropDown="false" showErrorMessage="false" showInputMessage="false" sqref="E2:E50" type="list">
      <formula1>"High,Medium,Low"</formula1>
      <formula2>0</formula2>
    </dataValidation>
    <dataValidation allowBlank="true" errorStyle="stop" operator="between" showDropDown="false" showErrorMessage="false" showInputMessage="false" sqref="F2:F50" type="list">
      <formula1>"Not Started,In Progress,Done"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3" min="2" style="0" width="26"/>
    <col collapsed="false" customWidth="true" hidden="false" outlineLevel="0" max="4" min="4" style="0" width="46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7" min="7" style="0" width="20"/>
    <col collapsed="false" customWidth="true" hidden="false" outlineLevel="0" max="8" min="8" style="0" width="26"/>
    <col collapsed="false" customWidth="true" hidden="false" outlineLevel="0" max="9" min="9" style="0" width="30"/>
  </cols>
  <sheetData>
    <row r="1" customFormat="false" ht="24" hidden="false" customHeight="true" outlineLevel="0" collapsed="false">
      <c r="A1" s="11" t="s">
        <v>21</v>
      </c>
      <c r="B1" s="11" t="s">
        <v>22</v>
      </c>
      <c r="C1" s="11" t="s">
        <v>23</v>
      </c>
      <c r="D1" s="11" t="s">
        <v>24</v>
      </c>
      <c r="E1" s="11" t="s">
        <v>25</v>
      </c>
      <c r="F1" s="11" t="s">
        <v>26</v>
      </c>
      <c r="G1" s="11" t="s">
        <v>27</v>
      </c>
      <c r="H1" s="11" t="s">
        <v>28</v>
      </c>
      <c r="I1" s="11" t="s">
        <v>29</v>
      </c>
    </row>
    <row r="2" customFormat="false" ht="15" hidden="false" customHeight="false" outlineLevel="0" collapsed="false">
      <c r="A2" s="12" t="n">
        <v>1</v>
      </c>
      <c r="B2" s="13" t="s">
        <v>271</v>
      </c>
      <c r="C2" s="13" t="s">
        <v>272</v>
      </c>
      <c r="D2" s="13" t="s">
        <v>273</v>
      </c>
      <c r="E2" s="12" t="s">
        <v>33</v>
      </c>
      <c r="F2" s="14" t="s">
        <v>6</v>
      </c>
      <c r="G2" s="12" t="s">
        <v>274</v>
      </c>
      <c r="H2" s="13"/>
      <c r="I2" s="13" t="s">
        <v>275</v>
      </c>
    </row>
    <row r="3" customFormat="false" ht="23.85" hidden="false" customHeight="false" outlineLevel="0" collapsed="false">
      <c r="A3" s="12" t="n">
        <v>2</v>
      </c>
      <c r="B3" s="13" t="s">
        <v>276</v>
      </c>
      <c r="C3" s="13" t="s">
        <v>277</v>
      </c>
      <c r="D3" s="13" t="s">
        <v>278</v>
      </c>
      <c r="E3" s="12" t="s">
        <v>33</v>
      </c>
      <c r="F3" s="14" t="s">
        <v>6</v>
      </c>
      <c r="G3" s="12" t="s">
        <v>279</v>
      </c>
      <c r="H3" s="13"/>
      <c r="I3" s="13" t="s">
        <v>280</v>
      </c>
    </row>
    <row r="4" customFormat="false" ht="15" hidden="false" customHeight="false" outlineLevel="0" collapsed="false">
      <c r="A4" s="12" t="n">
        <v>3</v>
      </c>
      <c r="B4" s="13" t="s">
        <v>281</v>
      </c>
      <c r="C4" s="13" t="s">
        <v>282</v>
      </c>
      <c r="D4" s="13" t="s">
        <v>283</v>
      </c>
      <c r="E4" s="12" t="s">
        <v>33</v>
      </c>
      <c r="F4" s="14" t="s">
        <v>6</v>
      </c>
      <c r="G4" s="12"/>
      <c r="H4" s="13"/>
      <c r="I4" s="13"/>
    </row>
    <row r="5" customFormat="false" ht="23.85" hidden="false" customHeight="false" outlineLevel="0" collapsed="false">
      <c r="A5" s="12" t="n">
        <v>4</v>
      </c>
      <c r="B5" s="13" t="s">
        <v>284</v>
      </c>
      <c r="C5" s="13" t="s">
        <v>285</v>
      </c>
      <c r="D5" s="13" t="s">
        <v>286</v>
      </c>
      <c r="E5" s="12" t="s">
        <v>65</v>
      </c>
      <c r="F5" s="14" t="s">
        <v>6</v>
      </c>
      <c r="G5" s="12"/>
      <c r="H5" s="13"/>
      <c r="I5" s="13"/>
    </row>
    <row r="6" customFormat="false" ht="23.85" hidden="false" customHeight="false" outlineLevel="0" collapsed="false">
      <c r="A6" s="12" t="n">
        <v>5</v>
      </c>
      <c r="B6" s="13" t="s">
        <v>287</v>
      </c>
      <c r="C6" s="13" t="s">
        <v>288</v>
      </c>
      <c r="D6" s="13" t="s">
        <v>289</v>
      </c>
      <c r="E6" s="12" t="s">
        <v>65</v>
      </c>
      <c r="F6" s="14" t="s">
        <v>6</v>
      </c>
      <c r="G6" s="12"/>
      <c r="H6" s="13"/>
      <c r="I6" s="13"/>
    </row>
  </sheetData>
  <dataValidations count="2">
    <dataValidation allowBlank="true" errorStyle="stop" operator="between" showDropDown="false" showErrorMessage="false" showInputMessage="false" sqref="E2:E50" type="list">
      <formula1>"High,Medium,Low"</formula1>
      <formula2>0</formula2>
    </dataValidation>
    <dataValidation allowBlank="true" errorStyle="stop" operator="between" showDropDown="false" showErrorMessage="false" showInputMessage="false" sqref="F2:F50" type="list">
      <formula1>"Not Started,In Progress,Done"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3" min="2" style="0" width="26"/>
    <col collapsed="false" customWidth="true" hidden="false" outlineLevel="0" max="4" min="4" style="0" width="46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7" min="7" style="0" width="20"/>
    <col collapsed="false" customWidth="true" hidden="false" outlineLevel="0" max="8" min="8" style="0" width="26"/>
    <col collapsed="false" customWidth="true" hidden="false" outlineLevel="0" max="9" min="9" style="0" width="30"/>
  </cols>
  <sheetData>
    <row r="1" customFormat="false" ht="24" hidden="false" customHeight="true" outlineLevel="0" collapsed="false">
      <c r="A1" s="11" t="s">
        <v>21</v>
      </c>
      <c r="B1" s="11" t="s">
        <v>22</v>
      </c>
      <c r="C1" s="11" t="s">
        <v>23</v>
      </c>
      <c r="D1" s="11" t="s">
        <v>24</v>
      </c>
      <c r="E1" s="11" t="s">
        <v>25</v>
      </c>
      <c r="F1" s="11" t="s">
        <v>26</v>
      </c>
      <c r="G1" s="11" t="s">
        <v>27</v>
      </c>
      <c r="H1" s="11" t="s">
        <v>28</v>
      </c>
      <c r="I1" s="11" t="s">
        <v>29</v>
      </c>
    </row>
    <row r="2" customFormat="false" ht="23.85" hidden="false" customHeight="false" outlineLevel="0" collapsed="false">
      <c r="A2" s="12" t="n">
        <v>1</v>
      </c>
      <c r="B2" s="13" t="s">
        <v>290</v>
      </c>
      <c r="C2" s="13" t="s">
        <v>291</v>
      </c>
      <c r="D2" s="13" t="s">
        <v>292</v>
      </c>
      <c r="E2" s="12" t="s">
        <v>33</v>
      </c>
      <c r="F2" s="14" t="s">
        <v>6</v>
      </c>
      <c r="G2" s="12" t="s">
        <v>293</v>
      </c>
      <c r="H2" s="13"/>
      <c r="I2" s="13" t="s">
        <v>294</v>
      </c>
    </row>
    <row r="3" customFormat="false" ht="15" hidden="false" customHeight="false" outlineLevel="0" collapsed="false">
      <c r="A3" s="12" t="n">
        <v>2</v>
      </c>
      <c r="B3" s="13" t="s">
        <v>295</v>
      </c>
      <c r="C3" s="13" t="s">
        <v>296</v>
      </c>
      <c r="D3" s="13" t="s">
        <v>297</v>
      </c>
      <c r="E3" s="12" t="s">
        <v>33</v>
      </c>
      <c r="F3" s="14" t="s">
        <v>6</v>
      </c>
      <c r="G3" s="12" t="s">
        <v>298</v>
      </c>
      <c r="H3" s="13"/>
      <c r="I3" s="13"/>
    </row>
    <row r="4" customFormat="false" ht="23.85" hidden="false" customHeight="false" outlineLevel="0" collapsed="false">
      <c r="A4" s="12" t="n">
        <v>3</v>
      </c>
      <c r="B4" s="13" t="s">
        <v>299</v>
      </c>
      <c r="C4" s="13" t="s">
        <v>300</v>
      </c>
      <c r="D4" s="13" t="s">
        <v>301</v>
      </c>
      <c r="E4" s="12" t="s">
        <v>65</v>
      </c>
      <c r="F4" s="14" t="s">
        <v>6</v>
      </c>
      <c r="G4" s="12" t="s">
        <v>302</v>
      </c>
      <c r="H4" s="13"/>
      <c r="I4" s="13" t="s">
        <v>303</v>
      </c>
    </row>
    <row r="5" customFormat="false" ht="15" hidden="false" customHeight="false" outlineLevel="0" collapsed="false">
      <c r="A5" s="12" t="n">
        <v>4</v>
      </c>
      <c r="B5" s="13" t="s">
        <v>304</v>
      </c>
      <c r="C5" s="13" t="s">
        <v>305</v>
      </c>
      <c r="D5" s="13" t="s">
        <v>306</v>
      </c>
      <c r="E5" s="12" t="s">
        <v>65</v>
      </c>
      <c r="F5" s="14" t="s">
        <v>6</v>
      </c>
      <c r="G5" s="12"/>
      <c r="H5" s="13"/>
      <c r="I5" s="13"/>
    </row>
    <row r="6" customFormat="false" ht="15" hidden="false" customHeight="false" outlineLevel="0" collapsed="false">
      <c r="A6" s="12" t="n">
        <v>5</v>
      </c>
      <c r="B6" s="13" t="s">
        <v>307</v>
      </c>
      <c r="C6" s="13" t="s">
        <v>308</v>
      </c>
      <c r="D6" s="13" t="s">
        <v>309</v>
      </c>
      <c r="E6" s="12" t="s">
        <v>80</v>
      </c>
      <c r="F6" s="14" t="s">
        <v>6</v>
      </c>
      <c r="G6" s="12" t="s">
        <v>310</v>
      </c>
      <c r="H6" s="13"/>
      <c r="I6" s="13"/>
    </row>
  </sheetData>
  <dataValidations count="2">
    <dataValidation allowBlank="true" errorStyle="stop" operator="between" showDropDown="false" showErrorMessage="false" showInputMessage="false" sqref="E2:E50" type="list">
      <formula1>"High,Medium,Low"</formula1>
      <formula2>0</formula2>
    </dataValidation>
    <dataValidation allowBlank="true" errorStyle="stop" operator="between" showDropDown="false" showErrorMessage="false" showInputMessage="false" sqref="F2:F50" type="list">
      <formula1>"Not Started,In Progress,Done"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2026-08-10T18:33:05Z</dcterms:created>
  <dc:creator>openpyxl</dc:creator>
  <dc:description/>
  <dc:language>en-US</dc:language>
  <cp:lastModifiedBy/>
  <dcterms:modified xsi:type="dcterms:W3CDTF">2026-08-10T18:33:05Z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